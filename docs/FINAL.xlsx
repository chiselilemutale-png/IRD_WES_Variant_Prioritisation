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ncess_c/Desktop/"/>
    </mc:Choice>
  </mc:AlternateContent>
  <xr:revisionPtr revIDLastSave="0" documentId="13_ncr:9_{50B78F97-61AA-A44C-9AD5-486815CA6734}" xr6:coauthVersionLast="47" xr6:coauthVersionMax="47" xr10:uidLastSave="{00000000-0000-0000-0000-000000000000}"/>
  <bookViews>
    <workbookView xWindow="1240" yWindow="1060" windowWidth="24420" windowHeight="16680" activeTab="2" xr2:uid="{CC25A0CE-ECA0-1A49-B525-3DD0E4BBE429}"/>
  </bookViews>
  <sheets>
    <sheet name="278_FINAL" sheetId="3" r:id="rId1"/>
    <sheet name="3347_FINAL" sheetId="1" r:id="rId2"/>
    <sheet name="MM47_FINAL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3" l="1"/>
  <c r="AH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2" i="2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I3" i="2" l="1"/>
  <c r="AI13" i="2"/>
  <c r="AI23" i="2"/>
  <c r="AI33" i="2"/>
  <c r="AI43" i="2"/>
  <c r="AI53" i="2"/>
  <c r="AI63" i="2"/>
  <c r="AI73" i="2"/>
  <c r="AI83" i="2"/>
  <c r="AI93" i="2"/>
  <c r="AI103" i="2"/>
  <c r="AI4" i="2"/>
  <c r="AI14" i="2"/>
  <c r="AI24" i="2"/>
  <c r="AI34" i="2"/>
  <c r="AI44" i="2"/>
  <c r="AI54" i="2"/>
  <c r="AI64" i="2"/>
  <c r="AI74" i="2"/>
  <c r="AI84" i="2"/>
  <c r="AI94" i="2"/>
  <c r="AI104" i="2"/>
  <c r="AI5" i="2"/>
  <c r="AI15" i="2"/>
  <c r="AI25" i="2"/>
  <c r="AI35" i="2"/>
  <c r="AI45" i="2"/>
  <c r="AI55" i="2"/>
  <c r="AI65" i="2"/>
  <c r="AI75" i="2"/>
  <c r="AI85" i="2"/>
  <c r="AI95" i="2"/>
  <c r="AI105" i="2"/>
  <c r="AI6" i="2"/>
  <c r="AI16" i="2"/>
  <c r="AI26" i="2"/>
  <c r="AI36" i="2"/>
  <c r="AI46" i="2"/>
  <c r="AI56" i="2"/>
  <c r="AI66" i="2"/>
  <c r="AI76" i="2"/>
  <c r="AI86" i="2"/>
  <c r="AI96" i="2"/>
  <c r="AI106" i="2"/>
  <c r="AI7" i="2"/>
  <c r="AI17" i="2"/>
  <c r="AI27" i="2"/>
  <c r="AI37" i="2"/>
  <c r="AI47" i="2"/>
  <c r="AI57" i="2"/>
  <c r="AI67" i="2"/>
  <c r="AI77" i="2"/>
  <c r="AI87" i="2"/>
  <c r="AI97" i="2"/>
  <c r="AI107" i="2"/>
  <c r="AI8" i="2"/>
  <c r="AI18" i="2"/>
  <c r="AI28" i="2"/>
  <c r="AI38" i="2"/>
  <c r="AI48" i="2"/>
  <c r="AI58" i="2"/>
  <c r="AI68" i="2"/>
  <c r="AI78" i="2"/>
  <c r="AI88" i="2"/>
  <c r="AI98" i="2"/>
  <c r="AI108" i="2"/>
  <c r="AI9" i="2"/>
  <c r="AI19" i="2"/>
  <c r="AI29" i="2"/>
  <c r="AI39" i="2"/>
  <c r="AI49" i="2"/>
  <c r="AI59" i="2"/>
  <c r="AI69" i="2"/>
  <c r="AI79" i="2"/>
  <c r="AI89" i="2"/>
  <c r="AI99" i="2"/>
  <c r="AI109" i="2"/>
  <c r="AI10" i="2"/>
  <c r="AI20" i="2"/>
  <c r="AI30" i="2"/>
  <c r="AI40" i="2"/>
  <c r="AI50" i="2"/>
  <c r="AI60" i="2"/>
  <c r="AI70" i="2"/>
  <c r="AI80" i="2"/>
  <c r="AI90" i="2"/>
  <c r="AI100" i="2"/>
  <c r="AI110" i="2"/>
  <c r="AI11" i="2"/>
  <c r="AI21" i="2"/>
  <c r="AI31" i="2"/>
  <c r="AI41" i="2"/>
  <c r="AI51" i="2"/>
  <c r="AI61" i="2"/>
  <c r="AI71" i="2"/>
  <c r="AI81" i="2"/>
  <c r="AI91" i="2"/>
  <c r="AI101" i="2"/>
  <c r="AI111" i="2"/>
  <c r="AI2" i="1"/>
  <c r="AI12" i="2"/>
  <c r="AI22" i="2"/>
  <c r="AI32" i="2"/>
  <c r="AI42" i="2"/>
  <c r="AI52" i="2"/>
  <c r="AI62" i="2"/>
  <c r="AI72" i="2"/>
  <c r="AI82" i="2"/>
  <c r="AI92" i="2"/>
  <c r="AI102" i="2"/>
  <c r="AI2" i="2"/>
</calcChain>
</file>

<file path=xl/sharedStrings.xml><?xml version="1.0" encoding="utf-8"?>
<sst xmlns="http://schemas.openxmlformats.org/spreadsheetml/2006/main" count="3309" uniqueCount="522">
  <si>
    <t>Chr</t>
  </si>
  <si>
    <t>Start</t>
  </si>
  <si>
    <t>End</t>
  </si>
  <si>
    <t>Ref</t>
  </si>
  <si>
    <t>Alt</t>
  </si>
  <si>
    <t>Func.refGene</t>
  </si>
  <si>
    <t>Gene.refGene</t>
  </si>
  <si>
    <t>ExonicFunc.refGene</t>
  </si>
  <si>
    <t>AAChange.refGene</t>
  </si>
  <si>
    <t>phastConsElements46way</t>
  </si>
  <si>
    <t>genomicSuperDups</t>
  </si>
  <si>
    <t>esp6500si_all</t>
  </si>
  <si>
    <t>1000g2012apr_all</t>
  </si>
  <si>
    <t>snp137</t>
  </si>
  <si>
    <t>LJB2_SIFT</t>
  </si>
  <si>
    <t>LJB2_PolyPhen2_HDIV</t>
  </si>
  <si>
    <t>LJB2_PP2_HDIV_Pred</t>
  </si>
  <si>
    <t>LJB2_PolyPhen2_HVAR</t>
  </si>
  <si>
    <t>LJB2_PolyPhen2_HVAR_Pred</t>
  </si>
  <si>
    <t>LJB2_LRT</t>
  </si>
  <si>
    <t>LJB2_LRT_Pred</t>
  </si>
  <si>
    <t>LJB2_MutationTaster</t>
  </si>
  <si>
    <t>LJB2_MutationTaster_Pred</t>
  </si>
  <si>
    <t>LJB_MutationAssessor</t>
  </si>
  <si>
    <t>LJB_MutationAssessor_Pred</t>
  </si>
  <si>
    <t>LJB2_FATHMM</t>
  </si>
  <si>
    <t>LJB2_GERP++</t>
  </si>
  <si>
    <t>LJB2_PhyloP</t>
  </si>
  <si>
    <t>LJB2_SiPhy</t>
  </si>
  <si>
    <t>CADD_PHRED</t>
  </si>
  <si>
    <t>GT</t>
  </si>
  <si>
    <t>DP</t>
  </si>
  <si>
    <t>Zygosity</t>
  </si>
  <si>
    <t>chr1</t>
  </si>
  <si>
    <t>C</t>
  </si>
  <si>
    <t>T</t>
  </si>
  <si>
    <t>exonic</t>
  </si>
  <si>
    <t>NPHP4</t>
  </si>
  <si>
    <t>stopgain SNV</t>
  </si>
  <si>
    <t>NPHP4:NM_015102:exon2:c.G11A:p.W4X</t>
  </si>
  <si>
    <t>Score=333;Name=lod=30</t>
  </si>
  <si>
    <t>.</t>
  </si>
  <si>
    <t>D</t>
  </si>
  <si>
    <t>A</t>
  </si>
  <si>
    <t>Homozygous_alt</t>
  </si>
  <si>
    <t>G</t>
  </si>
  <si>
    <t>DHDDS</t>
  </si>
  <si>
    <t>nonsynonymous SNV</t>
  </si>
  <si>
    <t>DHDDS:NM_001243564:exon4:c.G229T:p.A77S,DHDDS:NM_001243565:exon4:c.G229T:p.A77S,DHDDS:NM_024887:exon4:c.G229T:p.A77S,DHDDS:NM_205861:exon4:c.G229T:p.A77S</t>
  </si>
  <si>
    <t>Score=596;Name=lod=353</t>
  </si>
  <si>
    <t>medium</t>
  </si>
  <si>
    <t>DHDDS:NM_001243564:exon4:c.C253G:p.R85G,DHDDS:NM_001243565:exon4:c.C253G:p.R85G,DHDDS:NM_024887:exon4:c.C253G:p.R85G,DHDDS:NM_205861:exon4:c.C253G:p.R85G</t>
  </si>
  <si>
    <t>high</t>
  </si>
  <si>
    <t>DHDDS:NM_001243564:exon4:c.G254T:p.R85L,DHDDS:NM_001243565:exon4:c.G254T:p.R85L,DHDDS:NM_024887:exon4:c.G254T:p.R85L,DHDDS:NM_205861:exon4:c.G254T:p.R85L</t>
  </si>
  <si>
    <t>ABCA4</t>
  </si>
  <si>
    <t>ABCA4:NM_000350:exon22:c.C3285G:p.Y1095X</t>
  </si>
  <si>
    <t>Score=557;Name=lod=244</t>
  </si>
  <si>
    <t>ABCA4:NM_000350:exon13:c.C1899G:p.Y633X</t>
  </si>
  <si>
    <t>Score=584;Name=lod=314</t>
  </si>
  <si>
    <t>GNAT2</t>
  </si>
  <si>
    <t>GNAT2:NM_005272:exon8:c.T1028A:p.I343N</t>
  </si>
  <si>
    <t>Score=724;Name=lod=1171</t>
  </si>
  <si>
    <t>PRPF3</t>
  </si>
  <si>
    <t>PRPF3:NM_004698:exon4:c.G364T:p.E122X</t>
  </si>
  <si>
    <t>Score=482;Name=lod=121</t>
  </si>
  <si>
    <t>PRPF3:NM_004698:exon7:c.C973T:p.R325C</t>
  </si>
  <si>
    <t>Score=549;Name=lod=227</t>
  </si>
  <si>
    <t>chr2</t>
  </si>
  <si>
    <t>IFT172</t>
  </si>
  <si>
    <t>IFT172:NM_015662:exon13:c.G1243A:p.G415R</t>
  </si>
  <si>
    <t>Score=538;Name=lod=204</t>
  </si>
  <si>
    <t>ALMS1</t>
  </si>
  <si>
    <t>ALMS1:NM_015120:exon8:c.G2014T:p.E672X</t>
  </si>
  <si>
    <t>N</t>
  </si>
  <si>
    <t>SNRNP200</t>
  </si>
  <si>
    <t>SNRNP200:NM_014014:exon45:c.G6343A:p.G2115R</t>
  </si>
  <si>
    <t>Score=545;Name=lod=218</t>
  </si>
  <si>
    <t>SNRNP200:NM_014014:exon15:c.G1948T:p.G650C</t>
  </si>
  <si>
    <t>Score=659;Name=lod=634</t>
  </si>
  <si>
    <t>CNNM4</t>
  </si>
  <si>
    <t>CNNM4:NM_020184:exon2:c.C1484T:p.T495I</t>
  </si>
  <si>
    <t>Score=623;Name=lod=454</t>
  </si>
  <si>
    <t>SPP2</t>
  </si>
  <si>
    <t>SPP2:NM_006944:exon4:c.G444T:p.E148D</t>
  </si>
  <si>
    <t>Score=381;Name=lod=47</t>
  </si>
  <si>
    <t>chr3</t>
  </si>
  <si>
    <t>SLC6A6</t>
  </si>
  <si>
    <t>SLC6A6:NM_001134367:exon9:c.G1066T:p.G356C,SLC6A6:NM_003043:exon9:c.G1066T:p.G356C</t>
  </si>
  <si>
    <t>Score=767;Name=lod=1753</t>
  </si>
  <si>
    <t>SLC6A6:NM_001134367:exon9:c.G1067A:p.G356D,SLC6A6:NM_003043:exon9:c.G1067A:p.G356D</t>
  </si>
  <si>
    <t>SLC4A7</t>
  </si>
  <si>
    <t>SLC4A7:NM_001258379:exon17:c.C2306A:p.P769H,SLC4A7:NM_001258380:exon17:c.C2291A:p.P764H,SLC4A7:NM_003615:exon18:c.C2663A:p.P888H</t>
  </si>
  <si>
    <t>Score=644;Name=lod=551</t>
  </si>
  <si>
    <t>LZTFL1</t>
  </si>
  <si>
    <t>LZTFL1:NM_020347:exon10:c.G886T:p.E296X,LZTFL1:NM_001276378:exon12:c.G835T:p.E279X</t>
  </si>
  <si>
    <t>Score=361;Name=lod=39</t>
  </si>
  <si>
    <t>PROS1</t>
  </si>
  <si>
    <t>PROS1:NM_000313:exon5:c.G452T:p.G151V</t>
  </si>
  <si>
    <t>Score=443;Name=lod=84</t>
  </si>
  <si>
    <t>Score=0.948912;Name=chr3:90246336</t>
  </si>
  <si>
    <t>IQCB1</t>
  </si>
  <si>
    <t>IQCB1:NM_001023571:exon12:c.T1370A:p.L457X,IQCB1:NM_001023570:exon15:c.T1769A:p.L590X</t>
  </si>
  <si>
    <t>Score=420;Name=lod=68</t>
  </si>
  <si>
    <t>IQCB1:NM_001023570:exon9:c.G805T:p.E269X</t>
  </si>
  <si>
    <t>Score=450;Name=lod=90</t>
  </si>
  <si>
    <t>CLRN1</t>
  </si>
  <si>
    <t>CLRN1:NM_001195794:exon1:c.C10T:p.Q4X,CLRN1:NM_001256819:exon1:c.C10T:p.Q4X,CLRN1:NM_174878:exon1:c.C10T:p.Q4X</t>
  </si>
  <si>
    <t>Score=495;Name=lod=137</t>
  </si>
  <si>
    <t>CLCN2</t>
  </si>
  <si>
    <t>CLCN2:NM_001171088:exon13:c.G1361A:p.G454D,CLCN2:NM_001171087:exon14:c.G1442A:p.G481D,CLCN2:NM_001171089:exon14:c.G1493A:p.G498D,CLCN2:NM_004366:exon14:c.G1493A:p.G498D</t>
  </si>
  <si>
    <t>Score=435;Name=lod=78</t>
  </si>
  <si>
    <t>OPA1</t>
  </si>
  <si>
    <t>OPA1:NM_130833:exon5:c.C547T:p.Q183X,OPA1:NM_130835:exon6:c.C601T:p.Q201X,OPA1:NM_130836:exon6:c.C655T:p.Q219X,OPA1:NM_130837:exon7:c.C709T:p.Q237X</t>
  </si>
  <si>
    <t>Score=681;Name=lod=782</t>
  </si>
  <si>
    <t>PCYT1A</t>
  </si>
  <si>
    <t>PCYT1A:NM_005017:exon8:c.G587T:p.R196M</t>
  </si>
  <si>
    <t>Score=666;Name=lod=676</t>
  </si>
  <si>
    <t>P</t>
  </si>
  <si>
    <t>PCYT1A:NM_005017:exon8:c.A584T:p.Q195L</t>
  </si>
  <si>
    <t>chr4</t>
  </si>
  <si>
    <t>CC2D2A</t>
  </si>
  <si>
    <t>CC2D2A:NM_001080522:exon18:c.C2146T:p.Q716X</t>
  </si>
  <si>
    <t>Score=541;Name=lod=211</t>
  </si>
  <si>
    <t>chr5</t>
  </si>
  <si>
    <t>EGFLAM</t>
  </si>
  <si>
    <t>EGFLAM:NM_182801:exon4:c.G169A:p.D57N,EGFLAM:NM_182798:exon15:c.G2038A:p.D680N,EGFLAM:NM_152403:exon20:c.G2740A:p.D914N,EGFLAM:NM_001205301:exon21:c.G2764A:p.D922N</t>
  </si>
  <si>
    <t>Score=517;Name=lod=168</t>
  </si>
  <si>
    <t>rs148613168</t>
  </si>
  <si>
    <t>NR2F1</t>
  </si>
  <si>
    <t>NR2F1:NM_005654:exon3:c.C1159A:p.Q387K</t>
  </si>
  <si>
    <t>Score=721;Name=lod=1133</t>
  </si>
  <si>
    <t>CTNNA1</t>
  </si>
  <si>
    <t>CTNNA1:NM_001903:exon4:c.C444G:p.Y148X</t>
  </si>
  <si>
    <t>Score=703;Name=lod=955</t>
  </si>
  <si>
    <t>CTNNA1:NM_001903:exon18:c.G2695T:p.E899X</t>
  </si>
  <si>
    <t>Score=509;Name=lod=156</t>
  </si>
  <si>
    <t>PDE6A</t>
  </si>
  <si>
    <t>PDE6A:NM_000440:exon6:c.G934T:p.E312X</t>
  </si>
  <si>
    <t>Score=590;Name=lod=333</t>
  </si>
  <si>
    <t>GRM6</t>
  </si>
  <si>
    <t>GRM6:NM_000843:exon2:c.G538C:p.E180Q</t>
  </si>
  <si>
    <t>Score=587;Name=lod=324</t>
  </si>
  <si>
    <t>chr6</t>
  </si>
  <si>
    <t>TULP1</t>
  </si>
  <si>
    <t>TULP1:NM_003322:exon5:c.G391T:p.E131X</t>
  </si>
  <si>
    <t>GUCA1B</t>
  </si>
  <si>
    <t>GUCA1B:NM_002098:exon2:c.G310T:p.D104Y</t>
  </si>
  <si>
    <t>Score=674;Name=lod=731</t>
  </si>
  <si>
    <t>TBC1D32</t>
  </si>
  <si>
    <t>TBC1D32:NM_152730:exon18:c.G2157T:p.Q719H</t>
  </si>
  <si>
    <t>Score=659;Name=lod=636</t>
  </si>
  <si>
    <t>chr7</t>
  </si>
  <si>
    <t>IMPDH1</t>
  </si>
  <si>
    <t>IMPDH1:NM_001142575:exon7:c.C792G:p.Y264X,IMPDH1:NM_001142573:exon8:c.C867G:p.Y289X,IMPDH1:NM_001142574:exon8:c.C852G:p.Y284X,IMPDH1:NM_183243:exon9:c.C1014G:p.Y338X,IMPDH1:NM_001102605:exon10:c.C1092G:p.Y364X,IMPDH1:NM_001142576:exon10:c.C1023G:p.Y341X,IMPDH1:NM_000883:exon11:c.C1122G:p.Y374X</t>
  </si>
  <si>
    <t>Score=616;Name=lod=426</t>
  </si>
  <si>
    <t>IMPDH1:NM_001142575:exon6:c.C632T:p.A211V,IMPDH1:NM_001142573:exon7:c.C707T:p.A236V,IMPDH1:NM_001142574:exon7:c.C692T:p.A231V,IMPDH1:NM_183243:exon8:c.C854T:p.A285V,IMPDH1:NM_001102605:exon9:c.C932T:p.A311V,IMPDH1:NM_001142576:exon9:c.C863T:p.A288V,IMPDH1:NM_000883:exon10:c.C962T:p.A321V</t>
  </si>
  <si>
    <t>Score=643;Name=lod=545</t>
  </si>
  <si>
    <t>SLC37A3</t>
  </si>
  <si>
    <t>SLC37A3:NM_207113:exon13:c.C1324A:p.Q442K</t>
  </si>
  <si>
    <t>Score=466;Name=lod=104</t>
  </si>
  <si>
    <t>SLC37A3:NM_207113:exon13:c.C1313A:p.A438D</t>
  </si>
  <si>
    <t>Score=449;Name=lod=89</t>
  </si>
  <si>
    <t>chr8</t>
  </si>
  <si>
    <t>CNGB3</t>
  </si>
  <si>
    <t>CNGB3:NM_019098:exon18:c.C2348A:p.S783X</t>
  </si>
  <si>
    <t>Score=387;Name=lod=50</t>
  </si>
  <si>
    <t>RIMS2</t>
  </si>
  <si>
    <t>RIMS2:NM_014677:exon22:c.C3398T:p.S1133F,RIMS2:NM_001100117:exon24:c.C3956T:p.S1319F</t>
  </si>
  <si>
    <t>Score=641;Name=lod=539</t>
  </si>
  <si>
    <t>chr9</t>
  </si>
  <si>
    <t>PRPF4</t>
  </si>
  <si>
    <t>PRPF4:NM_001244926:exon6:c.C571A:p.R191S,PRPF4:NM_004697:exon6:c.C574A:p.R192S</t>
  </si>
  <si>
    <t>Score=554;Name=lod=238</t>
  </si>
  <si>
    <t>PRPF4:NM_001244926:exon6:c.G572A:p.R191H,PRPF4:NM_004697:exon6:c.G575A:p.R192H</t>
  </si>
  <si>
    <t>rs41296057</t>
  </si>
  <si>
    <t>PRPF4:NM_001244926:exon6:c.G580T:p.E194X,PRPF4:NM_004697:exon6:c.G583T:p.E195X</t>
  </si>
  <si>
    <t>chr10</t>
  </si>
  <si>
    <t>SLC39A12</t>
  </si>
  <si>
    <t>SLC39A12:NM_001145195:exon4:c.C619T:p.Q207X,SLC39A12:NM_152725:exon4:c.C619T:p.Q207X</t>
  </si>
  <si>
    <t>HKDC1</t>
  </si>
  <si>
    <t>HKDC1:NM_025130:exon5:c.G535T:p.G179X</t>
  </si>
  <si>
    <t>Score=437;Name=lod=80</t>
  </si>
  <si>
    <t>HK1</t>
  </si>
  <si>
    <t>HK1:NM_000188:exon9:c.C1148A:p.A383D,HK1:NM_033496:exon9:c.C1145A:p.A382D,HK1:NM_033497:exon12:c.C1160A:p.A387D,HK1:NM_033498:exon12:c.C1160A:p.A387D,HK1:NM_033500:exon13:c.C1112A:p.A371D</t>
  </si>
  <si>
    <t>Score=473;Name=lod=112</t>
  </si>
  <si>
    <t>OAT</t>
  </si>
  <si>
    <t>OAT:NM_001171814:exon6:c.A436T:p.R146X,OAT:NM_000274:exon7:c.A850T:p.R284X</t>
  </si>
  <si>
    <t>Score=500;Name=lod=144</t>
  </si>
  <si>
    <t>chr11</t>
  </si>
  <si>
    <t>CAPN5</t>
  </si>
  <si>
    <t>CAPN5:NM_004055:exon8:c.G982T:p.E328X</t>
  </si>
  <si>
    <t>DYNC2H1</t>
  </si>
  <si>
    <t>DYNC2H1:NM_001377:exon67:c.C10294T:p.Q3432X,DYNC2H1:NM_001080463:exon68:c.C10315T:p.Q3439X</t>
  </si>
  <si>
    <t>Score=666;Name=lod=679</t>
  </si>
  <si>
    <t>chr12</t>
  </si>
  <si>
    <t>CEP290</t>
  </si>
  <si>
    <t>CEP290:NM_025114:exon26:c.C2902T:p.Q968X</t>
  </si>
  <si>
    <t>Score=638;Name=lod=521</t>
  </si>
  <si>
    <t>chr13</t>
  </si>
  <si>
    <t>ITM2B</t>
  </si>
  <si>
    <t>ITM2B:NM_021999:exon3:c.G346T:p.E116X</t>
  </si>
  <si>
    <t>Score=529;Name=lod=189</t>
  </si>
  <si>
    <t>chr14</t>
  </si>
  <si>
    <t>RPGRIP1</t>
  </si>
  <si>
    <t>RPGRIP1:NM_020366:exon17:c.G2895T:p.Q965H</t>
  </si>
  <si>
    <t>Score=265;Name=lod=16</t>
  </si>
  <si>
    <t>low</t>
  </si>
  <si>
    <t>OTX2</t>
  </si>
  <si>
    <t>OTX2:NM_001270525:exon3:c.G876T:p.W292C,OTX2:NM_172337:exon3:c.G852T:p.W284C,OTX2:NM_001270524:exon4:c.G852T:p.W284C,OTX2:NM_001270523:exon5:c.G852T:p.W284C,OTX2:NM_021728:exon5:c.G876T:p.W292C</t>
  </si>
  <si>
    <t>Score=628;Name=lod=474</t>
  </si>
  <si>
    <t>TTLL5</t>
  </si>
  <si>
    <t>TTLL5:NM_015072:exon29:c.G3343T:p.G1115X</t>
  </si>
  <si>
    <t>Score=513;Name=lod=162</t>
  </si>
  <si>
    <t>IFT43</t>
  </si>
  <si>
    <t>IFT43:NM_052873:exon6:c.C397T:p.R133W,IFT43:NM_001102564:exon7:c.C382T:p.R128W</t>
  </si>
  <si>
    <t>Score=601;Name=lod=371</t>
  </si>
  <si>
    <t>chr15</t>
  </si>
  <si>
    <t>SLC24A1</t>
  </si>
  <si>
    <t>SLC24A1:NM_001254740:exon6:c.G965A:p.R322Q,SLC24A1:NM_004727:exon9:c.G2984A:p.R995Q</t>
  </si>
  <si>
    <t>Score=566;Name=lod=267</t>
  </si>
  <si>
    <t>SCAPER</t>
  </si>
  <si>
    <t>SCAPER:NM_020843:exon20:c.G2645A:p.R882K,SCAPER:NM_001145923:exon21:c.G1907A:p.R636K</t>
  </si>
  <si>
    <t>Score=601;Name=lod=368</t>
  </si>
  <si>
    <t>B</t>
  </si>
  <si>
    <t>chr16</t>
  </si>
  <si>
    <t>CLUAP1</t>
  </si>
  <si>
    <t>CLUAP1:NM_024793:exon6:c.G538A:p.G180R,CLUAP1:NM_015041:exon10:c.G1036A:p.G346R</t>
  </si>
  <si>
    <t>Score=445;Name=lod=86</t>
  </si>
  <si>
    <t>DHX38</t>
  </si>
  <si>
    <t>DHX38:NM_014003:exon13:c.G1718A:p.G573D</t>
  </si>
  <si>
    <t>Score=629;Name=lod=479</t>
  </si>
  <si>
    <t>ADAMTS18</t>
  </si>
  <si>
    <t>ADAMTS18:NM_199355:exon12:c.G1730A:p.C577Y</t>
  </si>
  <si>
    <t>Score=532;Name=lod=193</t>
  </si>
  <si>
    <t>ADAMTS18:NM_199355:exon4:c.G562T:p.E188X</t>
  </si>
  <si>
    <t>Score=553;Name=lod=236</t>
  </si>
  <si>
    <t>chr17</t>
  </si>
  <si>
    <t>AIPL1</t>
  </si>
  <si>
    <t>AIPL1:NM_001033054:exon5:c.G685T:p.E229X,AIPL1:NM_001033055:exon5:c.G694T:p.E232X,AIPL1:NM_014336:exon6:c.G874T:p.E292X</t>
  </si>
  <si>
    <t>Score=474;Name=lod=113</t>
  </si>
  <si>
    <t>MKS1</t>
  </si>
  <si>
    <t>MKS1:NM_001165927:exon8:c.A754T:p.K252X,MKS1:NM_017777:exon8:c.A784T:p.K262X</t>
  </si>
  <si>
    <t>Score=502;Name=lod=146</t>
  </si>
  <si>
    <t>chr18</t>
  </si>
  <si>
    <t>AFG3L2</t>
  </si>
  <si>
    <t>AFG3L2:NM_006796:exon16:c.C2123A:p.A708D</t>
  </si>
  <si>
    <t>Score=397;Name=lod=55</t>
  </si>
  <si>
    <t>AFG3L2:NM_006796:exon14:c.G1723A:p.E575K</t>
  </si>
  <si>
    <t>Score=0.910795;Name=chr8:43122248</t>
  </si>
  <si>
    <t>chr19</t>
  </si>
  <si>
    <t>PNPLA6</t>
  </si>
  <si>
    <t>PNPLA6:NM_001166114:exon2:c.C268T:p.R90W,PNPLA6:NM_001166111:exon4:c.C295T:p.R99W,PNPLA6:NM_001166112:exon5:c.C151T:p.R51W,PNPLA6:NM_001166113:exon5:c.C151T:p.R51W,PNPLA6:NM_006702:exon5:c.C151T:p.R51W</t>
  </si>
  <si>
    <t>Score=610;Name=lod=402</t>
  </si>
  <si>
    <t>PNPLA6:NM_001166114:exon2:c.G269C:p.R90P,PNPLA6:NM_001166111:exon4:c.G296C:p.R99P,PNPLA6:NM_001166112:exon5:c.G152C:p.R51P,PNPLA6:NM_001166113:exon5:c.G152C:p.R51P,PNPLA6:NM_006702:exon5:c.G152C:p.R51P</t>
  </si>
  <si>
    <t>PRPF31</t>
  </si>
  <si>
    <t>PRPF31:NM_015629:exon8:c.G709T:p.G237C</t>
  </si>
  <si>
    <t>Score=522;Name=lod=176</t>
  </si>
  <si>
    <t>chr20</t>
  </si>
  <si>
    <t>CEP250</t>
  </si>
  <si>
    <t>CEP250:NM_007186:exon22:c.A2779T:p.R927X</t>
  </si>
  <si>
    <t>Score=599;Name=lod=361</t>
  </si>
  <si>
    <t>PRPF6</t>
  </si>
  <si>
    <t>PRPF6:NM_012469:exon3:c.G359A:p.R120Q</t>
  </si>
  <si>
    <t>Score=627;Name=lod=470</t>
  </si>
  <si>
    <t>chr21</t>
  </si>
  <si>
    <t>AGPAT3</t>
  </si>
  <si>
    <t>AGPAT3:NM_001037553:exon5:c.C533T:p.T178M,AGPAT3:NM_020132:exon6:c.C533T:p.T178M</t>
  </si>
  <si>
    <t>Score=529;Name=lod=188</t>
  </si>
  <si>
    <t>chrX</t>
  </si>
  <si>
    <t>OFD1</t>
  </si>
  <si>
    <t>OFD1:NM_003611:exon16:c.A2227T:p.K743X</t>
  </si>
  <si>
    <t>DMD</t>
  </si>
  <si>
    <t>DMD:NM_004017:exon11:c.C1115A:p.S372Y,DMD:NM_004018:exon11:c.C1115A:p.S372Y,DMD:NM_004015:exon12:c.C1154A:p.S385Y,DMD:NM_004016:exon12:c.C1154A:p.S385Y,DMD:NM_004014:exon19:c.C2171A:p.S724Y,DMD:NM_004022:exon29:c.C2939A:p.S980Y,DMD:NM_004013:exon30:c.C2978A:p.S993Y,DMD:NM_004021:exon30:c.C2978A:p.S993Y,DMD:NM_004011:exon45:c.C6335A:p.S2112Y,DMD:NM_004012:exon45:c.C6326A:p.S2109Y,DMD:NM_004007:exon72:c.C9989A:p.S3330Y,DMD:NM_000109:exon73:c.C10334A:p.S3445Y,DMD:NM_004006:exon73:c.C10358A:p.S3453Y,DMD:NM_004009:exon73:c.C10346A:p.S3449Y,DMD:NM_004010:exon73:c.C9989A:p.S3330Y</t>
  </si>
  <si>
    <t>Score=710;Name=lod=1027</t>
  </si>
  <si>
    <t>U</t>
  </si>
  <si>
    <t>DMD:NM_004007:exon11:c.G1113T:p.K371N,DMD:NM_000109:exon12:c.G1458T:p.K486N,DMD:NM_004006:exon12:c.G1482T:p.K494N,DMD:NM_004009:exon12:c.G1470T:p.K490N,DMD:NM_004010:exon12:c.G1113T:p.K371N</t>
  </si>
  <si>
    <t>CACNA1F</t>
  </si>
  <si>
    <t>CACNA1F:NM_001256789:exon13:c.C1648T:p.Q550X,CACNA1F:NM_005183:exon13:c.C1681T:p.Q561X</t>
  </si>
  <si>
    <t>Score=455;Name=lod=94</t>
  </si>
  <si>
    <t>CHM</t>
  </si>
  <si>
    <t>CHM:NM_000390:exon15:c.C1907A:p.S636X</t>
  </si>
  <si>
    <t>Score=309;Name=lod=24</t>
  </si>
  <si>
    <t>LAMP2:NM_001122606:exon2:c.T129A:p.Y43X,LAMP2:NM_002294:exon2:c.T129A:p.Y43X,LAMP2:NM_013995:exon2:c.T129A:p.Y43X</t>
  </si>
  <si>
    <t>LAMP2</t>
  </si>
  <si>
    <t>Score=600;Name=lod=367</t>
  </si>
  <si>
    <t>DMD:NM_004015:exon3:c.G134A:p.R45Q,DMD:NM_004016:exon3:c.G134A:p.R45Q,DMD:NM_004017:exon3:c.G134A:p.R45Q,DMD:NM_004018:exon3:c.G134A:p.R45Q,DMD:NM_004019:exon3:c.G134A:p.R45Q,DMD:NM_004014:exon10:c.G1151A:p.R384Q,DMD:NM_004013:exon21:c.G1958A:p.R653Q,DMD:NM_004020:exon21:c.G1958A:p.R653Q,DMD:NM_004021:exon21:c.G1958A:p.R653Q,DMD:NM_004022:exon21:c.G1958A:p.R653Q,DMD:NM_004023:exon21:c.G1958A:p.R653Q,DMD:NM_004011:exon36:c.G5315A:p.R1772Q,DMD:NM_004012:exon36:c.G5306A:p.R1769Q,DMD:NM_004007:exon63:c.G8969A:p.R2990Q,DMD:NM_000109:exon64:c.G9314A:p.R3105Q,DMD:NM_004006:exon64:c.G9338A:p.R3113Q,DMD:NM_004009:exon64:c.G9326A:p.R3109Q,DMD:NM_004010:exon64:c.G8969A:p.R2990Q</t>
  </si>
  <si>
    <t>Score=613;Name=lod=415</t>
  </si>
  <si>
    <t>DMD:NM_004017:exon14:c.G1616T:p.R539M,DMD:NM_004018:exon14:c.G1616T:p.R539M,DMD:NM_004015:exon15:c.G1655T:p.R552M,DMD:NM_004016:exon15:c.G1655T:p.R552M,DMD:NM_004014:exon22:c.G2672T:p.R891M,DMD:NM_004020:exon29:c.G3149T:p.R1050M,DMD:NM_004023:exon29:c.G3149T:p.R1050M,DMD:NM_004022:exon32:c.G3440T:p.R1147M,DMD:NM_004013:exon33:c.G3479T:p.R1160M,DMD:NM_004021:exon33:c.G3479T:p.R1160M,DMD:NM_004011:exon48:c.G6836T:p.R2279M,DMD:NM_004012:exon48:c.G6827T:p.R2276M,DMD:NM_004007:exon75:c.G10490T:p.R3497M,DMD:NM_000109:exon76:c.G10835T:p.R3612M,DMD:NM_004006:exon76:c.G10859T:p.R3620M,DMD:NM_004009:exon76:c.G10847T:p.R3616M,DMD:NM_004010:exon76:c.G10490T:p.R3497M</t>
  </si>
  <si>
    <t>rs61752158</t>
  </si>
  <si>
    <t>Score=599;Name=lod=362</t>
  </si>
  <si>
    <t>RS1:NM_000330:exon5:c.C421T:p.R141C</t>
  </si>
  <si>
    <t>RS1</t>
  </si>
  <si>
    <t>OFD1:NM_003611:exon16:c.G2239T:p.E747X</t>
  </si>
  <si>
    <t>OFD1:NM_003611:exon7:c.G654T:p.K218N</t>
  </si>
  <si>
    <t>TUBGCP6:NM_020461:exon10:c.G1942T:p.E648X</t>
  </si>
  <si>
    <t>TUBGCP6</t>
  </si>
  <si>
    <t>chr22</t>
  </si>
  <si>
    <t>Score=500;Name=lod=143</t>
  </si>
  <si>
    <t>PRPF6:NM_012469:exon7:c.G815A:p.G272D</t>
  </si>
  <si>
    <t>Score=607;Name=lod=392</t>
  </si>
  <si>
    <t>JAG1:NM_000214:exon9:c.G1148A:p.C383Y</t>
  </si>
  <si>
    <t>JAG1</t>
  </si>
  <si>
    <t>Score=462;Name=lod=101</t>
  </si>
  <si>
    <t>JAG1:NM_000214:exon21:c.C2483A:p.P828H</t>
  </si>
  <si>
    <t>Score=561;Name=lod=253</t>
  </si>
  <si>
    <t>AFG3L2:NM_006796:exon5:c.G461A:p.W154X</t>
  </si>
  <si>
    <t>Score=575;Name=lod=289</t>
  </si>
  <si>
    <t>AFG3L2:NM_006796:exon7:c.G694T:p.E232X</t>
  </si>
  <si>
    <t>Score=640;Name=lod=531</t>
  </si>
  <si>
    <t>AFG3L2:NM_006796:exon8:c.G964A:p.E322K</t>
  </si>
  <si>
    <t>Score=321;Name=lod=27</t>
  </si>
  <si>
    <t>LAMA1:NM_005559:exon38:c.A5383T:p.K1795X</t>
  </si>
  <si>
    <t>LAMA1</t>
  </si>
  <si>
    <t>LAMA1:NM_005559:exon61:c.C8735A:p.S2912X</t>
  </si>
  <si>
    <t>Score=713;Name=lod=1050</t>
  </si>
  <si>
    <t>USH1G:NM_173477:exon1:c.G23A:p.G8E</t>
  </si>
  <si>
    <t>USH1G</t>
  </si>
  <si>
    <t>USH1G:NM_173477:exon1:c.T26T:p.M9M</t>
  </si>
  <si>
    <t>synonymous SNV</t>
  </si>
  <si>
    <t>Score=532;Name=lod=194</t>
  </si>
  <si>
    <t>ARSG:NM_001267727:exon5:c.C465A:p.Y155X,ARSG:NM_014960:exon5:c.C465A:p.Y155X</t>
  </si>
  <si>
    <t>ARSG</t>
  </si>
  <si>
    <t>GPR179:NM_001004334:exon11:c.G5422T:p.E1808X</t>
  </si>
  <si>
    <t>GPR179</t>
  </si>
  <si>
    <t>Score=582;Name=lod=309</t>
  </si>
  <si>
    <t>PITPNM3:NM_001165966:exon16:c.G2095T:p.G699C,PITPNM3:NM_031220:exon17:c.G2203T:p.G735C</t>
  </si>
  <si>
    <t>PITPNM3</t>
  </si>
  <si>
    <t>Score=574;Name=lod=288</t>
  </si>
  <si>
    <t>PRPF8:NM_006445:exon6:c.G684A:p.W228X</t>
  </si>
  <si>
    <t>PRPF8</t>
  </si>
  <si>
    <t>DHX38:NM_014003:exon20:c.C2659T:p.Q887X</t>
  </si>
  <si>
    <t>Score=576;Name=lod=291</t>
  </si>
  <si>
    <t>DHX38:NM_014003:exon2:c.A223T:p.K75X</t>
  </si>
  <si>
    <t>Score=546;Name=lod=221</t>
  </si>
  <si>
    <t>SCAPER:NM_020843:exon28:c.C3719T:p.A1240V,SCAPER:NM_001145923:exon29:c.C2981T:p.A994V</t>
  </si>
  <si>
    <t>Score=581;Name=lod=306</t>
  </si>
  <si>
    <t>BBS4:NM_033028:exon5:c.C329A:p.S110Y</t>
  </si>
  <si>
    <t>BBS4</t>
  </si>
  <si>
    <t>Score=336;Name=lod=31</t>
  </si>
  <si>
    <t>TRPM1:NM_001252020:exon27:c.G3955T:p.E1319X,TRPM1:NM_002420:exon27:c.G3838T:p.E1280X,TRPM1:NM_001252024:exon28:c.G3904T:p.E1302X</t>
  </si>
  <si>
    <t>TRPM1</t>
  </si>
  <si>
    <t>SPATA7:NM_001040428:exon11:c.G1507T:p.E503X,SPATA7:NM_018418:exon12:c.G1603T:p.E535X</t>
  </si>
  <si>
    <t>SPATA7</t>
  </si>
  <si>
    <t>Score=272;Name=lod=17</t>
  </si>
  <si>
    <t>TTLL5:NM_015072:exon30:c.G3564A:p.W1188X</t>
  </si>
  <si>
    <t>Score=486;Name=lod=126</t>
  </si>
  <si>
    <t>RB1</t>
  </si>
  <si>
    <t>intronic</t>
  </si>
  <si>
    <t>Score=611;Name=lod=404</t>
  </si>
  <si>
    <t>VWA8:NM_001009814:exon12:c.G1405T:p.E469X,VWA8:NM_015058:exon12:c.G1405T:p.E469X</t>
  </si>
  <si>
    <t>VWA8</t>
  </si>
  <si>
    <t>Score=251;Name=lod=14</t>
  </si>
  <si>
    <t>C12orf65:NM_001143905:exon3:c.G476A:p.W159X,C12orf65:NM_001194995:exon3:c.G476A:p.W159X,C12orf65:NM_152269:exon3:c.G476A:p.W159X</t>
  </si>
  <si>
    <t>C12orf65</t>
  </si>
  <si>
    <t>Score=507;Name=lod=154</t>
  </si>
  <si>
    <t>COQ5:NM_032314:exon2:c.G343A:p.G115R</t>
  </si>
  <si>
    <t>COQ5</t>
  </si>
  <si>
    <t>COQ5:NM_032314:exon2:c.G344T:p.G115V</t>
  </si>
  <si>
    <t>COQ5:NM_032314:exon2:c.G346A:p.G116S</t>
  </si>
  <si>
    <t>COQ5:NM_032314:exon2:c.G347A:p.G116D</t>
  </si>
  <si>
    <t>Score=0.9294;Name=chr8:89498004</t>
  </si>
  <si>
    <t>Score=383;Name=lod=48</t>
  </si>
  <si>
    <t>CEP290:NM_025114:exon54:c.G7210A:p.E2404K</t>
  </si>
  <si>
    <t>Score=539;Name=lod=206</t>
  </si>
  <si>
    <t>COL2A1:NM_033150:exon4:c.G142T:p.G48X,COL2A1:NM_001844:exon5:c.G349T:p.G117X</t>
  </si>
  <si>
    <t>COL2A1</t>
  </si>
  <si>
    <t>Score=471;Name=lod=109</t>
  </si>
  <si>
    <t>Score=528;Name=lod=187</t>
  </si>
  <si>
    <t>COL2A1:NM_033150:exon28:c.G1700T:p.G567V,COL2A1:NM_001844:exon29:c.G1907T:p.G636V</t>
  </si>
  <si>
    <t>Score=604;Name=lod=380</t>
  </si>
  <si>
    <t>DYNC2H1:NM_001377:exon79:c.A11512T:p.K3838X,DYNC2H1:NM_001080463:exon80:c.A11533T:p.K3845X</t>
  </si>
  <si>
    <t>Score=670;Name=lod=705</t>
  </si>
  <si>
    <t>FZD4:NM_012193:exon2:c.A755T:p.E252V</t>
  </si>
  <si>
    <t>FZD4</t>
  </si>
  <si>
    <t>Score=329;Name=lod=29</t>
  </si>
  <si>
    <t>PYGM:NM_001164716:exon12:c.C1383G:p.Y461X,PYGM:NM_005609:exon14:c.C1647G:p.Y549X</t>
  </si>
  <si>
    <t>PYGM</t>
  </si>
  <si>
    <t>Score=491;Name=lod=132</t>
  </si>
  <si>
    <t>STX3:NM_001178040:exon2:c.G114T:p.E38D,STX3:NM_004177:exon2:c.G114T:p.E38D</t>
  </si>
  <si>
    <t>STX3</t>
  </si>
  <si>
    <t>Score=618;Name=lod=432</t>
  </si>
  <si>
    <t>USH1C:NM_153676:exon17:c.T1464A:p.Y488X</t>
  </si>
  <si>
    <t>USH1C</t>
  </si>
  <si>
    <t>Score=611;Name=lod=407</t>
  </si>
  <si>
    <t>TEAD1:NM_021961:exon6:c.G397A:p.A133T</t>
  </si>
  <si>
    <t>TEAD1</t>
  </si>
  <si>
    <t>Score=596;Name=lod=351</t>
  </si>
  <si>
    <t>TUB:NM_177972:exon11:c.G1241A:p.W414X,TUB:NM_003320:exon12:c.G1406A:p.W469X</t>
  </si>
  <si>
    <t>TUB</t>
  </si>
  <si>
    <t>rs201089410</t>
  </si>
  <si>
    <t>Score=660;Name=lod=641</t>
  </si>
  <si>
    <t>PAX2:NM_000278:exon5:c.G608A:p.R203H,PAX2:NM_003987:exon5:c.G608A:p.R203H,PAX2:NM_003988:exon5:c.G608A:p.R203H,PAX2:NM_003989:exon5:c.G608A:p.R203H,PAX2:NM_003990:exon5:c.G608A:p.R203H</t>
  </si>
  <si>
    <t>PAX2</t>
  </si>
  <si>
    <t>PAX2:NM_000278:exon5:c.C607T:p.R203C,PAX2:NM_003987:exon5:c.C607T:p.R203C,PAX2:NM_003988:exon5:c.C607T:p.R203C,PAX2:NM_003989:exon5:c.C607T:p.R203C,PAX2:NM_003990:exon5:c.C607T:p.R203C</t>
  </si>
  <si>
    <t>Score=593;Name=lod=342</t>
  </si>
  <si>
    <t>CDH23:NM_001171930:exon7:c.C603G:p.Y201X,CDH23:NM_001171931:exon7:c.C603G:p.Y201X,CDH23:NM_001171932:exon7:c.C603G:p.Y201X,CDH23:NM_022124:exon7:c.C603G:p.Y201X,CDH23:NM_052836:exon7:c.C603G:p.Y201X</t>
  </si>
  <si>
    <t>CDH23</t>
  </si>
  <si>
    <t>Score=419;Name=lod=67</t>
  </si>
  <si>
    <t>HK1:NM_000188:exon18:c.G2687A:p.G896D,HK1:NM_033496:exon18:c.G2684A:p.G895D,HK1:NM_033497:exon21:c.G2699A:p.G900D,HK1:NM_033498:exon21:c.G2699A:p.G900D,HK1:NM_033500:exon22:c.G2651A:p.G884D</t>
  </si>
  <si>
    <t>HK1:NM_000188:exon3:c.G346T:p.E116X,HK1:NM_033496:exon3:c.G343T:p.E115X,HK1:NM_033497:exon6:c.G358T:p.E120X,HK1:NM_033498:exon6:c.G358T:p.E120X,HK1:NM_033500:exon7:c.G310T:p.E104X</t>
  </si>
  <si>
    <t>Score=581;Name=lod=307</t>
  </si>
  <si>
    <t>PDSS1:NM_014317:exon6:c.G566A:p.R189Q</t>
  </si>
  <si>
    <t>PDSS1</t>
  </si>
  <si>
    <t>PRPF4:NM_001244926:exon6:c.T575A:p.L192X,PRPF4:NM_004697:exon6:c.T578A:p.L193X</t>
  </si>
  <si>
    <t>Score=683;Name=lod=797</t>
  </si>
  <si>
    <t>FSD1L:NM_207647:exon11:c.G1185A:p.W395X,FSD1L:NM_001145313:exon12:c.G1281A:p.W427X</t>
  </si>
  <si>
    <t>FSD1L</t>
  </si>
  <si>
    <t>Score=599;Name=lod=364</t>
  </si>
  <si>
    <t>FSD1L:NM_031919:exon4:c.A322T:p.K108X,FSD1L:NM_207647:exon4:c.A322T:p.K108X,FSD1L:NM_001145313:exon5:c.A418T:p.K140X</t>
  </si>
  <si>
    <t>Score=536;Name=lod=202</t>
  </si>
  <si>
    <t>INVS:NM_014425:exon5:c.G535T:p.D179Y,INVS:NM_183245:exon5:c.G535T:p.D179Y</t>
  </si>
  <si>
    <t>INVS</t>
  </si>
  <si>
    <t>Score=589;Name=lod=330</t>
  </si>
  <si>
    <t>MPDZ:NM_001261406:exon16:c.T2144A:p.L715X,MPDZ:NM_001261407:exon16:c.T2144A:p.L715X,MPDZ:NM_003829:exon16:c.T2144A:p.L715X</t>
  </si>
  <si>
    <t>MPDZ</t>
  </si>
  <si>
    <t>Score=444;Name=lod=85</t>
  </si>
  <si>
    <t>RIMS2:NM_014677:exon19:c.G3005T:p.R1002L,RIMS2:NM_001100117:exon21:c.G3563T:p.R1188L</t>
  </si>
  <si>
    <t>CNGB3:NM_019098:exon1:c.G55T:p.E19X</t>
  </si>
  <si>
    <t>CNGB3:NM_019098:exon18:c.G2164T:p.E722X</t>
  </si>
  <si>
    <t>RP1:NM_006269:exon4:c.A4504T:p.K1502X</t>
  </si>
  <si>
    <t>RP1</t>
  </si>
  <si>
    <t>RP1:NM_006269:exon4:c.C4073A:p.S1358X</t>
  </si>
  <si>
    <t>HGSNAT:NM_152419:exon3:c.A358T:p.K120X</t>
  </si>
  <si>
    <t>HGSNAT</t>
  </si>
  <si>
    <t>Score=601;Name=lod=369</t>
  </si>
  <si>
    <t>SLC37A3:NM_207113:exon13:c.A1204T:p.I402F</t>
  </si>
  <si>
    <t>Score=628;Name=lod=477</t>
  </si>
  <si>
    <t>BBS9:NM_014451:exon16:c.G1690T:p.E564X,BBS9:NM_001033604:exon17:c.G1705T:p.E569X,BBS9:NM_001033605:exon17:c.G1795T:p.E599X,BBS9:NM_198428:exon18:c.G1810T:p.E604X</t>
  </si>
  <si>
    <t>BBS9</t>
  </si>
  <si>
    <t>BBS9:NM_001033604:exon10:c.G1198T:p.G400C,BBS9:NM_001033605:exon10:c.G1198T:p.G400C,BBS9:NM_014451:exon10:c.G1198T:p.G400C,BBS9:NM_198428:exon10:c.G1198T:p.G400C</t>
  </si>
  <si>
    <t>BBS9:NM_001033604:exon10:c.C1193A:p.S398X,BBS9:NM_001033605:exon10:c.C1193A:p.S398X,BBS9:NM_014451:exon10:c.C1193A:p.S398X,BBS9:NM_198428:exon10:c.C1193A:p.S398X</t>
  </si>
  <si>
    <t>Score=595;Name=lod=348</t>
  </si>
  <si>
    <t>BBS9:NM_001033604:exon6:c.G499T:p.E167X,BBS9:NM_001033605:exon6:c.G499T:p.E167X,BBS9:NM_014451:exon6:c.G499T:p.E167X,BBS9:NM_198428:exon6:c.G499T:p.E167X</t>
  </si>
  <si>
    <t>Score=636;Name=lod=514</t>
  </si>
  <si>
    <t>KLHL7:NM_001031710:exon8:c.C1160A:p.S387Y,KLHL7:NM_018846:exon8:c.C1016A:p.S339Y</t>
  </si>
  <si>
    <t>KLHL7</t>
  </si>
  <si>
    <t>TBC1D32:NM_152730:exon6:c.G751T:p.E251X</t>
  </si>
  <si>
    <t>Score=355;Name=lod=37</t>
  </si>
  <si>
    <t>TBC1D32:NM_152730:exon24:c.C2770T:p.Q924X</t>
  </si>
  <si>
    <t>TBC1D32:NM_152730:exon24:c.G2773T:p.D925Y</t>
  </si>
  <si>
    <t>Score=510;Name=lod=157</t>
  </si>
  <si>
    <t>USP45:NM_001080481:exon4:c.C298T:p.Q100X</t>
  </si>
  <si>
    <t>USP45</t>
  </si>
  <si>
    <t>LCA5:NM_001122769:exon4:c.G721A:p.E241K,LCA5:NM_181714:exon5:c.G721A:p.E241K</t>
  </si>
  <si>
    <t>LCA5</t>
  </si>
  <si>
    <t>Score=537;Name=lod=203</t>
  </si>
  <si>
    <t>COL9A1:NM_078485:exon11:c.G551A:p.G184D,COL9A1:NM_001851:exon17:c.G1280A:p.G427D</t>
  </si>
  <si>
    <t>COL9A1</t>
  </si>
  <si>
    <t>Score=640;Name=lod=533</t>
  </si>
  <si>
    <t>CTNNA1:NM_001903:exon12:c.G1696T:p.G566X</t>
  </si>
  <si>
    <t>LRIT3:NM_198506:exon4:c.C1075T:p.P359S</t>
  </si>
  <si>
    <t>LRIT3</t>
  </si>
  <si>
    <t>Score=567;Name=lod=268</t>
  </si>
  <si>
    <t>CC2D2A:NM_001080522:exon6:c.C307T:p.R103C</t>
  </si>
  <si>
    <t>Score=458;Name=lod=97</t>
  </si>
  <si>
    <t>SLC7A14:NM_020949:exon3:c.G383A:p.G128E</t>
  </si>
  <si>
    <t>SLC7A14</t>
  </si>
  <si>
    <t>IQCB1:NM_001023571:exon8:c.G613T:p.E205X,IQCB1:NM_001023570:exon11:c.G1012T:p.E338X</t>
  </si>
  <si>
    <t>Score=679;Name=lod=768</t>
  </si>
  <si>
    <t>SLC4A7:NM_001258379:exon16:c.G2205C:p.K735N,SLC4A7:NM_001258380:exon16:c.G2190C:p.K730N,SLC4A7:NM_003615:exon17:c.G2562C:p.K854N</t>
  </si>
  <si>
    <t>Score=612;Name=lod=408</t>
  </si>
  <si>
    <t>TRNT1:NM_182916:exon7:c.A901T:p.K301X</t>
  </si>
  <si>
    <t>TRNT1</t>
  </si>
  <si>
    <t>Score=487;Name=lod=127</t>
  </si>
  <si>
    <t>NPHP1:NM_001128179:exon14:c.T1313A:p.L438X,NPHP1:NM_000272:exon16:c.T1670A:p.L557X,NPHP1:NM_001128178:exon16:c.T1502A:p.L501X,NPHP1:NM_207181:exon16:c.T1667A:p.L556X</t>
  </si>
  <si>
    <t>NPHP1</t>
  </si>
  <si>
    <t>Score=636;Name=lod=513</t>
  </si>
  <si>
    <t>SNRNP200:NM_014014:exon38:c.C5403A:p.C1801X</t>
  </si>
  <si>
    <t>Score=475;Name=lod=114</t>
  </si>
  <si>
    <t>ALMS1:NM_015120:exon16:c.C10888T:p.R3630C</t>
  </si>
  <si>
    <t>Score=461;Name=lod=100</t>
  </si>
  <si>
    <t>ALMS1:NM_015120:exon13:c.G9997T:p.E3333X</t>
  </si>
  <si>
    <t>EFEMP1:NM_001039349:exon4:c.C284A:p.S95X,EFEMP1:NM_001039348:exon5:c.C284A:p.S95X</t>
  </si>
  <si>
    <t>EFEMP1</t>
  </si>
  <si>
    <t>Score=670;Name=lod=702</t>
  </si>
  <si>
    <t>AGBL5:NM_001035507:exon9:c.G1607A:p.G536E,AGBL5:NM_021831:exon9:c.G1607A:p.G536E</t>
  </si>
  <si>
    <t>AGBL5</t>
  </si>
  <si>
    <t>Score=633;Name=lod=497</t>
  </si>
  <si>
    <t>splicing</t>
  </si>
  <si>
    <t>Score=346;Name=lod=34</t>
  </si>
  <si>
    <t>USH2A:NM_206933:exon69:c.C15028T:p.Q5010X</t>
  </si>
  <si>
    <t>USH2A</t>
  </si>
  <si>
    <t>neutral</t>
  </si>
  <si>
    <t>NEK2:NM_001204182:exon2:c.G230A:p.R77Q,NEK2:NM_001204183:exon2:c.G230A:p.R77Q,NEK2:NM_002497:exon2:c.G230A:p.R77Q</t>
  </si>
  <si>
    <t>NEK2</t>
  </si>
  <si>
    <t>Score=0.977931;Name=chr1:196796319</t>
  </si>
  <si>
    <t>CFH:NM_000186:exon20:c.T3201A:p.Y1067X</t>
  </si>
  <si>
    <t>CFH</t>
  </si>
  <si>
    <t>Score=389;Name=lod=51</t>
  </si>
  <si>
    <t>HMCN1:NM_031935:exon21:c.C3119A:p.S1040X</t>
  </si>
  <si>
    <t>HMCN1</t>
  </si>
  <si>
    <t>Score=426;Name=lod=72</t>
  </si>
  <si>
    <t>HMCN1:NM_031935:exon7:c.C905A:p.S302X</t>
  </si>
  <si>
    <t>Score=633;Name=lod=498</t>
  </si>
  <si>
    <t>HMCN1:NM_031935:exon3:c.G343T:p.G115C</t>
  </si>
  <si>
    <t>HMCN1:NM_031935:exon3:c.G341A:p.G114D</t>
  </si>
  <si>
    <t>HMCN1:NM_031935:exon3:c.G340A:p.G114S</t>
  </si>
  <si>
    <t>SEMA4A:NM_001193302:exon12:c.G1239A:p.W413X,SEMA4A:NM_001193300:exon14:c.G1635A:p.W545X,SEMA4A:NM_001193301:exon14:c.G1635A:p.W545X,SEMA4A:NM_022367:exon14:c.G1635A:p.W545X</t>
  </si>
  <si>
    <t>SEMA4A</t>
  </si>
  <si>
    <t>Score=664;Name=lod=665</t>
  </si>
  <si>
    <t>PRPF3:NM_004698:exon11:c.G1456T:p.G486X</t>
  </si>
  <si>
    <t>Score=595;Name=lod=349</t>
  </si>
  <si>
    <t>RPE65:NM_000329:exon4:c.G353A:p.R118K</t>
  </si>
  <si>
    <t>RPE65</t>
  </si>
  <si>
    <t>DHDDS:NM_001243564:exon4:c.T224A:p.V75D,DHDDS:NM_001243565:exon4:c.T224A:p.V75D,DHDDS:NM_024887:exon4:c.T224A:p.V75D,DHDDS:NM_205861:exon4:c.T224A:p.V75D</t>
  </si>
  <si>
    <t>rs200954922</t>
  </si>
  <si>
    <t>PLA2G5:NM_000929:exon3:c.C157T:p.R53X</t>
  </si>
  <si>
    <t>PLA2G5</t>
  </si>
  <si>
    <t>Score=243;Name=lod=13</t>
  </si>
  <si>
    <t>NMNAT1:NM_022787:exon5:c.G745T:p.E249X</t>
  </si>
  <si>
    <t>NMNAT1</t>
  </si>
  <si>
    <t>COMMON W/ 3347</t>
  </si>
  <si>
    <t>0/1</t>
  </si>
  <si>
    <t>Variant ID</t>
  </si>
  <si>
    <t>Common hits w/ MM47</t>
  </si>
  <si>
    <t>Variant_ID</t>
  </si>
  <si>
    <t>a</t>
  </si>
  <si>
    <t>Heterozygous</t>
  </si>
  <si>
    <t>Score=686;Name=lod=820</t>
  </si>
  <si>
    <t>CTNNB1:NM_001098209:exon10:c.C1582T:p.R528C,CTNNB1:NM_001098210:exon10:c.C1582T:p.R528C,CTNNB1:NM_001904:exon10:c.C1582T:p.R528C</t>
  </si>
  <si>
    <t>CTNNB1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</si>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</sst>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6" fontId="0" fillId="0" borderId="0" xfId="0" quotePrefix="1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CCF3-DD0C-114C-9464-79AE1ADDBC82}">
  <dimension ref="A1:AH2"/>
  <sheetViews>
    <sheetView topLeftCell="U2" workbookViewId="0">
      <selection activeCell="AD9" sqref="AD9"/>
    </sheetView>
  </sheetViews>
  <sheetFormatPr baseColWidth="10" defaultRowHeight="16" x14ac:dyDescent="0.2"/>
  <cols>
    <col min="33" max="33" width="15.33203125" customWidth="1"/>
    <col min="34" max="34" width="17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515</v>
      </c>
    </row>
    <row r="2" spans="1:34" x14ac:dyDescent="0.2">
      <c r="A2" t="s">
        <v>85</v>
      </c>
      <c r="B2">
        <v>41275687</v>
      </c>
      <c r="C2">
        <v>41275687</v>
      </c>
      <c r="D2" t="s">
        <v>34</v>
      </c>
      <c r="E2" t="s">
        <v>35</v>
      </c>
      <c r="F2" t="s">
        <v>36</v>
      </c>
      <c r="G2" t="s">
        <v>520</v>
      </c>
      <c r="H2" t="s">
        <v>47</v>
      </c>
      <c r="I2" t="s">
        <v>519</v>
      </c>
      <c r="J2" t="s">
        <v>518</v>
      </c>
      <c r="O2">
        <v>0.03</v>
      </c>
      <c r="P2">
        <v>1</v>
      </c>
      <c r="Q2" t="s">
        <v>42</v>
      </c>
      <c r="R2">
        <v>0.98</v>
      </c>
      <c r="S2" t="s">
        <v>42</v>
      </c>
      <c r="T2">
        <v>0</v>
      </c>
      <c r="U2" t="s">
        <v>42</v>
      </c>
      <c r="V2">
        <v>0.99999499999999997</v>
      </c>
      <c r="W2" t="s">
        <v>42</v>
      </c>
      <c r="X2">
        <v>3.3450000000000002</v>
      </c>
      <c r="Y2" t="s">
        <v>50</v>
      </c>
      <c r="Z2">
        <v>-1.05</v>
      </c>
      <c r="AA2">
        <v>5.96</v>
      </c>
      <c r="AB2">
        <v>2.8319999999999999</v>
      </c>
      <c r="AC2">
        <v>20.422000000000001</v>
      </c>
      <c r="AD2">
        <v>33</v>
      </c>
      <c r="AE2" t="s">
        <v>512</v>
      </c>
      <c r="AF2">
        <v>84</v>
      </c>
      <c r="AG2" t="s">
        <v>517</v>
      </c>
      <c r="AH2" t="str">
        <f>A2&amp;"_"&amp;B2&amp;"_"&amp;D2&amp;"_"&amp;E2</f>
        <v>chr3_41275687_C_T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874A-6473-D143-BE05-4138E560914E}">
  <dimension ref="A1:AI80"/>
  <sheetViews>
    <sheetView topLeftCell="T52" zoomScale="75" workbookViewId="0">
      <selection activeCell="AD44" sqref="AD44"/>
    </sheetView>
  </sheetViews>
  <sheetFormatPr baseColWidth="10" defaultRowHeight="16" x14ac:dyDescent="0.2"/>
  <cols>
    <col min="33" max="33" width="22.33203125" customWidth="1"/>
    <col min="34" max="34" width="25.33203125" customWidth="1"/>
    <col min="35" max="35" width="20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513</v>
      </c>
      <c r="AI1" t="s">
        <v>514</v>
      </c>
    </row>
    <row r="2" spans="1:35" x14ac:dyDescent="0.2">
      <c r="A2" t="s">
        <v>33</v>
      </c>
      <c r="B2">
        <v>6046339</v>
      </c>
      <c r="C2">
        <v>6046339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O2">
        <v>1</v>
      </c>
      <c r="P2" t="s">
        <v>41</v>
      </c>
      <c r="Q2" t="s">
        <v>41</v>
      </c>
      <c r="R2" t="s">
        <v>41</v>
      </c>
      <c r="S2" t="s">
        <v>41</v>
      </c>
      <c r="T2">
        <v>1.9999999999999999E-6</v>
      </c>
      <c r="U2" t="s">
        <v>42</v>
      </c>
      <c r="V2">
        <v>1</v>
      </c>
      <c r="W2" t="s">
        <v>43</v>
      </c>
      <c r="X2" t="s">
        <v>41</v>
      </c>
      <c r="Y2" t="s">
        <v>41</v>
      </c>
      <c r="Z2" t="s">
        <v>41</v>
      </c>
      <c r="AA2">
        <v>5.41</v>
      </c>
      <c r="AB2">
        <v>2.6869999999999998</v>
      </c>
      <c r="AC2">
        <v>17.0503</v>
      </c>
      <c r="AD2">
        <v>37</v>
      </c>
      <c r="AE2" t="s">
        <v>512</v>
      </c>
      <c r="AF2">
        <v>8</v>
      </c>
      <c r="AG2" t="s">
        <v>517</v>
      </c>
      <c r="AH2" t="str">
        <f>A2&amp;"_"&amp;B2&amp;"_"&amp;D2&amp;"_"&amp;E2</f>
        <v>chr1_6046339_C_T</v>
      </c>
      <c r="AI2" s="2" t="str">
        <f>IF(ISNUMBER(MATCH(AH2,MM47_FINAL!$AH:$AH,0)),"YES","NO")</f>
        <v>NO</v>
      </c>
    </row>
    <row r="3" spans="1:35" x14ac:dyDescent="0.2">
      <c r="A3" t="s">
        <v>33</v>
      </c>
      <c r="B3">
        <v>26769270</v>
      </c>
      <c r="C3">
        <v>26769270</v>
      </c>
      <c r="D3" t="s">
        <v>45</v>
      </c>
      <c r="E3" t="s">
        <v>35</v>
      </c>
      <c r="F3" t="s">
        <v>36</v>
      </c>
      <c r="G3" t="s">
        <v>46</v>
      </c>
      <c r="H3" t="s">
        <v>47</v>
      </c>
      <c r="I3" t="s">
        <v>48</v>
      </c>
      <c r="J3" t="s">
        <v>49</v>
      </c>
      <c r="O3">
        <v>0</v>
      </c>
      <c r="P3">
        <v>1</v>
      </c>
      <c r="Q3" t="s">
        <v>42</v>
      </c>
      <c r="R3">
        <v>1</v>
      </c>
      <c r="S3" t="s">
        <v>42</v>
      </c>
      <c r="T3">
        <v>0</v>
      </c>
      <c r="U3" t="s">
        <v>42</v>
      </c>
      <c r="V3">
        <v>0.999977</v>
      </c>
      <c r="W3" t="s">
        <v>42</v>
      </c>
      <c r="X3">
        <v>3.2050000000000001</v>
      </c>
      <c r="Y3" t="s">
        <v>50</v>
      </c>
      <c r="Z3">
        <v>1.29</v>
      </c>
      <c r="AA3">
        <v>5.92</v>
      </c>
      <c r="AB3">
        <v>2.8090000000000002</v>
      </c>
      <c r="AC3">
        <v>19.308800000000002</v>
      </c>
      <c r="AD3">
        <v>31</v>
      </c>
      <c r="AE3" t="s">
        <v>512</v>
      </c>
      <c r="AF3">
        <v>23</v>
      </c>
      <c r="AG3" t="s">
        <v>517</v>
      </c>
      <c r="AH3" t="str">
        <f t="shared" ref="AH3:AH66" si="0">A3&amp;"_"&amp;B3&amp;"_"&amp;D3&amp;"_"&amp;E3</f>
        <v>chr1_26769270_G_T</v>
      </c>
      <c r="AI3" s="2" t="str">
        <f>IF(ISNUMBER(MATCH(AH3,MM47_FINAL!$AH:$AH,0)),"YES","NO")</f>
        <v>NO</v>
      </c>
    </row>
    <row r="4" spans="1:35" x14ac:dyDescent="0.2">
      <c r="A4" t="s">
        <v>33</v>
      </c>
      <c r="B4">
        <v>26769294</v>
      </c>
      <c r="C4">
        <v>26769294</v>
      </c>
      <c r="D4" t="s">
        <v>34</v>
      </c>
      <c r="E4" t="s">
        <v>45</v>
      </c>
      <c r="F4" t="s">
        <v>36</v>
      </c>
      <c r="G4" t="s">
        <v>46</v>
      </c>
      <c r="H4" t="s">
        <v>47</v>
      </c>
      <c r="I4" t="s">
        <v>51</v>
      </c>
      <c r="J4" t="s">
        <v>49</v>
      </c>
      <c r="O4">
        <v>0</v>
      </c>
      <c r="P4">
        <v>1</v>
      </c>
      <c r="Q4" t="s">
        <v>42</v>
      </c>
      <c r="R4">
        <v>1</v>
      </c>
      <c r="S4" t="s">
        <v>42</v>
      </c>
      <c r="T4">
        <v>0</v>
      </c>
      <c r="U4" t="s">
        <v>42</v>
      </c>
      <c r="V4">
        <v>0.999996</v>
      </c>
      <c r="W4" t="s">
        <v>42</v>
      </c>
      <c r="X4">
        <v>4.7850000000000001</v>
      </c>
      <c r="Y4" t="s">
        <v>52</v>
      </c>
      <c r="Z4">
        <v>-0.66</v>
      </c>
      <c r="AA4">
        <v>5.92</v>
      </c>
      <c r="AB4">
        <v>2.8090000000000002</v>
      </c>
      <c r="AC4">
        <v>19.308800000000002</v>
      </c>
      <c r="AD4">
        <v>33</v>
      </c>
      <c r="AE4" t="s">
        <v>512</v>
      </c>
      <c r="AF4">
        <v>18</v>
      </c>
      <c r="AG4" t="s">
        <v>517</v>
      </c>
      <c r="AH4" t="str">
        <f t="shared" si="0"/>
        <v>chr1_26769294_C_G</v>
      </c>
      <c r="AI4" s="2" t="str">
        <f>IF(ISNUMBER(MATCH(AH4,MM47_FINAL!$AH:$AH,0)),"YES","NO")</f>
        <v>NO</v>
      </c>
    </row>
    <row r="5" spans="1:35" x14ac:dyDescent="0.2">
      <c r="A5" t="s">
        <v>33</v>
      </c>
      <c r="B5">
        <v>26769295</v>
      </c>
      <c r="C5">
        <v>26769295</v>
      </c>
      <c r="D5" t="s">
        <v>45</v>
      </c>
      <c r="E5" t="s">
        <v>35</v>
      </c>
      <c r="F5" t="s">
        <v>36</v>
      </c>
      <c r="G5" t="s">
        <v>46</v>
      </c>
      <c r="H5" t="s">
        <v>47</v>
      </c>
      <c r="I5" t="s">
        <v>53</v>
      </c>
      <c r="J5" t="s">
        <v>49</v>
      </c>
      <c r="O5">
        <v>0</v>
      </c>
      <c r="P5">
        <v>1</v>
      </c>
      <c r="Q5" t="s">
        <v>42</v>
      </c>
      <c r="R5">
        <v>1</v>
      </c>
      <c r="S5" t="s">
        <v>42</v>
      </c>
      <c r="T5">
        <v>0</v>
      </c>
      <c r="U5" t="s">
        <v>42</v>
      </c>
      <c r="V5">
        <v>0.99999800000000005</v>
      </c>
      <c r="W5" t="s">
        <v>42</v>
      </c>
      <c r="X5">
        <v>4.7850000000000001</v>
      </c>
      <c r="Y5" t="s">
        <v>52</v>
      </c>
      <c r="Z5">
        <v>-0.66</v>
      </c>
      <c r="AA5">
        <v>5.92</v>
      </c>
      <c r="AB5">
        <v>2.8090000000000002</v>
      </c>
      <c r="AC5">
        <v>19.308800000000002</v>
      </c>
      <c r="AD5">
        <v>33</v>
      </c>
      <c r="AE5" t="s">
        <v>512</v>
      </c>
      <c r="AF5">
        <v>17</v>
      </c>
      <c r="AG5" t="s">
        <v>517</v>
      </c>
      <c r="AH5" t="str">
        <f t="shared" si="0"/>
        <v>chr1_26769295_G_T</v>
      </c>
      <c r="AI5" s="2" t="str">
        <f>IF(ISNUMBER(MATCH(AH5,MM47_FINAL!$AH:$AH,0)),"YES","NO")</f>
        <v>NO</v>
      </c>
    </row>
    <row r="6" spans="1:35" x14ac:dyDescent="0.2">
      <c r="A6" t="s">
        <v>33</v>
      </c>
      <c r="B6">
        <v>94508360</v>
      </c>
      <c r="C6">
        <v>94508360</v>
      </c>
      <c r="D6" t="s">
        <v>45</v>
      </c>
      <c r="E6" t="s">
        <v>34</v>
      </c>
      <c r="F6" t="s">
        <v>36</v>
      </c>
      <c r="G6" t="s">
        <v>54</v>
      </c>
      <c r="H6" t="s">
        <v>38</v>
      </c>
      <c r="I6" t="s">
        <v>55</v>
      </c>
      <c r="J6" t="s">
        <v>56</v>
      </c>
      <c r="O6">
        <v>1</v>
      </c>
      <c r="P6" t="s">
        <v>41</v>
      </c>
      <c r="Q6" t="s">
        <v>41</v>
      </c>
      <c r="R6" t="s">
        <v>41</v>
      </c>
      <c r="S6" t="s">
        <v>41</v>
      </c>
      <c r="T6">
        <v>0</v>
      </c>
      <c r="U6" t="s">
        <v>42</v>
      </c>
      <c r="V6">
        <v>1</v>
      </c>
      <c r="W6" t="s">
        <v>43</v>
      </c>
      <c r="X6" t="s">
        <v>41</v>
      </c>
      <c r="Y6" t="s">
        <v>41</v>
      </c>
      <c r="Z6" t="s">
        <v>41</v>
      </c>
      <c r="AA6">
        <v>1.31</v>
      </c>
      <c r="AB6">
        <v>0.36899999999999999</v>
      </c>
      <c r="AC6">
        <v>9.8066999999999993</v>
      </c>
      <c r="AD6">
        <v>35</v>
      </c>
      <c r="AE6" t="s">
        <v>512</v>
      </c>
      <c r="AF6">
        <v>27</v>
      </c>
      <c r="AG6" t="s">
        <v>517</v>
      </c>
      <c r="AH6" t="str">
        <f t="shared" si="0"/>
        <v>chr1_94508360_G_C</v>
      </c>
      <c r="AI6" s="2" t="str">
        <f>IF(ISNUMBER(MATCH(AH6,MM47_FINAL!$AH:$AH,0)),"YES","NO")</f>
        <v>NO</v>
      </c>
    </row>
    <row r="7" spans="1:35" x14ac:dyDescent="0.2">
      <c r="A7" t="s">
        <v>33</v>
      </c>
      <c r="B7">
        <v>94528171</v>
      </c>
      <c r="C7">
        <v>94528171</v>
      </c>
      <c r="D7" t="s">
        <v>45</v>
      </c>
      <c r="E7" t="s">
        <v>34</v>
      </c>
      <c r="F7" t="s">
        <v>36</v>
      </c>
      <c r="G7" t="s">
        <v>54</v>
      </c>
      <c r="H7" t="s">
        <v>38</v>
      </c>
      <c r="I7" t="s">
        <v>57</v>
      </c>
      <c r="J7" t="s">
        <v>58</v>
      </c>
      <c r="O7">
        <v>1</v>
      </c>
      <c r="P7" t="s">
        <v>41</v>
      </c>
      <c r="Q7" t="s">
        <v>41</v>
      </c>
      <c r="R7" t="s">
        <v>41</v>
      </c>
      <c r="S7" t="s">
        <v>41</v>
      </c>
      <c r="T7">
        <v>0</v>
      </c>
      <c r="U7" t="s">
        <v>42</v>
      </c>
      <c r="V7">
        <v>1</v>
      </c>
      <c r="W7" t="s">
        <v>43</v>
      </c>
      <c r="X7" t="s">
        <v>41</v>
      </c>
      <c r="Y7" t="s">
        <v>41</v>
      </c>
      <c r="Z7" t="s">
        <v>41</v>
      </c>
      <c r="AA7">
        <v>-2.67</v>
      </c>
      <c r="AB7">
        <v>-0.69199999999999995</v>
      </c>
      <c r="AC7">
        <v>12.3139</v>
      </c>
      <c r="AD7">
        <v>36</v>
      </c>
      <c r="AE7" t="s">
        <v>512</v>
      </c>
      <c r="AF7">
        <v>8</v>
      </c>
      <c r="AG7" t="s">
        <v>517</v>
      </c>
      <c r="AH7" t="str">
        <f t="shared" si="0"/>
        <v>chr1_94528171_G_C</v>
      </c>
      <c r="AI7" s="2" t="str">
        <f>IF(ISNUMBER(MATCH(AH7,MM47_FINAL!$AH:$AH,0)),"YES","NO")</f>
        <v>NO</v>
      </c>
    </row>
    <row r="8" spans="1:35" x14ac:dyDescent="0.2">
      <c r="A8" t="s">
        <v>33</v>
      </c>
      <c r="B8">
        <v>110146013</v>
      </c>
      <c r="C8">
        <v>110146013</v>
      </c>
      <c r="D8" t="s">
        <v>43</v>
      </c>
      <c r="E8" t="s">
        <v>35</v>
      </c>
      <c r="F8" t="s">
        <v>36</v>
      </c>
      <c r="G8" t="s">
        <v>59</v>
      </c>
      <c r="H8" t="s">
        <v>47</v>
      </c>
      <c r="I8" t="s">
        <v>60</v>
      </c>
      <c r="J8" t="s">
        <v>61</v>
      </c>
      <c r="O8">
        <v>0</v>
      </c>
      <c r="P8">
        <v>0.998</v>
      </c>
      <c r="Q8" t="s">
        <v>42</v>
      </c>
      <c r="R8">
        <v>0.99199999999999999</v>
      </c>
      <c r="S8" t="s">
        <v>42</v>
      </c>
      <c r="T8">
        <v>0</v>
      </c>
      <c r="U8" t="s">
        <v>42</v>
      </c>
      <c r="V8">
        <v>0.99970300000000001</v>
      </c>
      <c r="W8" t="s">
        <v>42</v>
      </c>
      <c r="X8">
        <v>4.24</v>
      </c>
      <c r="Y8" t="s">
        <v>52</v>
      </c>
      <c r="Z8">
        <v>-2.54</v>
      </c>
      <c r="AA8">
        <v>5.48</v>
      </c>
      <c r="AB8">
        <v>2.2050000000000001</v>
      </c>
      <c r="AC8">
        <v>15.547800000000001</v>
      </c>
      <c r="AD8">
        <v>32</v>
      </c>
      <c r="AE8" t="s">
        <v>512</v>
      </c>
      <c r="AF8">
        <v>6</v>
      </c>
      <c r="AG8" t="s">
        <v>517</v>
      </c>
      <c r="AH8" t="str">
        <f t="shared" si="0"/>
        <v>chr1_110146013_A_T</v>
      </c>
      <c r="AI8" s="2" t="str">
        <f>IF(ISNUMBER(MATCH(AH8,MM47_FINAL!$AH:$AH,0)),"YES","NO")</f>
        <v>NO</v>
      </c>
    </row>
    <row r="9" spans="1:35" x14ac:dyDescent="0.2">
      <c r="A9" t="s">
        <v>33</v>
      </c>
      <c r="B9">
        <v>150300866</v>
      </c>
      <c r="C9">
        <v>150300866</v>
      </c>
      <c r="D9" t="s">
        <v>45</v>
      </c>
      <c r="E9" t="s">
        <v>35</v>
      </c>
      <c r="F9" t="s">
        <v>36</v>
      </c>
      <c r="G9" t="s">
        <v>62</v>
      </c>
      <c r="H9" t="s">
        <v>38</v>
      </c>
      <c r="I9" t="s">
        <v>63</v>
      </c>
      <c r="J9" t="s">
        <v>64</v>
      </c>
      <c r="O9">
        <v>0.65</v>
      </c>
      <c r="P9" t="s">
        <v>41</v>
      </c>
      <c r="Q9" t="s">
        <v>41</v>
      </c>
      <c r="R9" t="s">
        <v>41</v>
      </c>
      <c r="S9" t="s">
        <v>41</v>
      </c>
      <c r="T9">
        <v>6.9999999999999999E-6</v>
      </c>
      <c r="U9" t="s">
        <v>42</v>
      </c>
      <c r="V9">
        <v>1</v>
      </c>
      <c r="W9" t="s">
        <v>43</v>
      </c>
      <c r="X9" t="s">
        <v>41</v>
      </c>
      <c r="Y9" t="s">
        <v>41</v>
      </c>
      <c r="Z9" t="s">
        <v>41</v>
      </c>
      <c r="AA9">
        <v>5.91</v>
      </c>
      <c r="AB9">
        <v>2.802</v>
      </c>
      <c r="AC9">
        <v>19.8933</v>
      </c>
      <c r="AD9">
        <v>39</v>
      </c>
      <c r="AE9" t="s">
        <v>512</v>
      </c>
      <c r="AF9">
        <v>10</v>
      </c>
      <c r="AG9" t="s">
        <v>517</v>
      </c>
      <c r="AH9" t="str">
        <f t="shared" si="0"/>
        <v>chr1_150300866_G_T</v>
      </c>
      <c r="AI9" s="2" t="str">
        <f>IF(ISNUMBER(MATCH(AH9,MM47_FINAL!$AH:$AH,0)),"YES","NO")</f>
        <v>NO</v>
      </c>
    </row>
    <row r="10" spans="1:35" x14ac:dyDescent="0.2">
      <c r="A10" t="s">
        <v>33</v>
      </c>
      <c r="B10">
        <v>150307650</v>
      </c>
      <c r="C10">
        <v>150307650</v>
      </c>
      <c r="D10" t="s">
        <v>34</v>
      </c>
      <c r="E10" t="s">
        <v>35</v>
      </c>
      <c r="F10" t="s">
        <v>36</v>
      </c>
      <c r="G10" t="s">
        <v>62</v>
      </c>
      <c r="H10" t="s">
        <v>47</v>
      </c>
      <c r="I10" t="s">
        <v>65</v>
      </c>
      <c r="J10" t="s">
        <v>66</v>
      </c>
      <c r="O10">
        <v>0</v>
      </c>
      <c r="P10">
        <v>1</v>
      </c>
      <c r="Q10" t="s">
        <v>42</v>
      </c>
      <c r="R10">
        <v>0.998</v>
      </c>
      <c r="S10" t="s">
        <v>42</v>
      </c>
      <c r="T10">
        <v>1.9999999999999999E-6</v>
      </c>
      <c r="U10" t="s">
        <v>42</v>
      </c>
      <c r="V10">
        <v>0.99579099999999998</v>
      </c>
      <c r="W10" t="s">
        <v>42</v>
      </c>
      <c r="X10">
        <v>3.5649999999999999</v>
      </c>
      <c r="Y10" t="s">
        <v>52</v>
      </c>
      <c r="Z10">
        <v>-2.19</v>
      </c>
      <c r="AA10">
        <v>5.63</v>
      </c>
      <c r="AB10">
        <v>2.8079999999999998</v>
      </c>
      <c r="AC10">
        <v>14.8476</v>
      </c>
      <c r="AD10">
        <v>33</v>
      </c>
      <c r="AE10" t="s">
        <v>512</v>
      </c>
      <c r="AF10">
        <v>9</v>
      </c>
      <c r="AG10" t="s">
        <v>517</v>
      </c>
      <c r="AH10" t="str">
        <f t="shared" si="0"/>
        <v>chr1_150307650_C_T</v>
      </c>
      <c r="AI10" s="2" t="str">
        <f>IF(ISNUMBER(MATCH(AH10,MM47_FINAL!$AH:$AH,0)),"YES","NO")</f>
        <v>NO</v>
      </c>
    </row>
    <row r="11" spans="1:35" x14ac:dyDescent="0.2">
      <c r="A11" t="s">
        <v>67</v>
      </c>
      <c r="B11">
        <v>27700166</v>
      </c>
      <c r="C11">
        <v>27700166</v>
      </c>
      <c r="D11" t="s">
        <v>34</v>
      </c>
      <c r="E11" t="s">
        <v>35</v>
      </c>
      <c r="F11" t="s">
        <v>36</v>
      </c>
      <c r="G11" t="s">
        <v>68</v>
      </c>
      <c r="H11" t="s">
        <v>47</v>
      </c>
      <c r="I11" t="s">
        <v>69</v>
      </c>
      <c r="J11" t="s">
        <v>70</v>
      </c>
      <c r="O11">
        <v>0</v>
      </c>
      <c r="P11">
        <v>1</v>
      </c>
      <c r="Q11" t="s">
        <v>42</v>
      </c>
      <c r="R11">
        <v>0.99199999999999999</v>
      </c>
      <c r="S11" t="s">
        <v>42</v>
      </c>
      <c r="T11">
        <v>0</v>
      </c>
      <c r="U11" t="s">
        <v>42</v>
      </c>
      <c r="V11">
        <v>0.99998399999999998</v>
      </c>
      <c r="W11" t="s">
        <v>42</v>
      </c>
      <c r="X11">
        <v>3.11</v>
      </c>
      <c r="Y11" t="s">
        <v>50</v>
      </c>
      <c r="Z11">
        <v>2.59</v>
      </c>
      <c r="AA11">
        <v>5.83</v>
      </c>
      <c r="AB11">
        <v>2.758</v>
      </c>
      <c r="AC11">
        <v>18.665800000000001</v>
      </c>
      <c r="AD11">
        <v>32</v>
      </c>
      <c r="AE11" t="s">
        <v>512</v>
      </c>
      <c r="AF11">
        <v>19</v>
      </c>
      <c r="AG11" t="s">
        <v>517</v>
      </c>
      <c r="AH11" t="str">
        <f t="shared" si="0"/>
        <v>chr2_27700166_C_T</v>
      </c>
      <c r="AI11" s="2" t="str">
        <f>IF(ISNUMBER(MATCH(AH11,MM47_FINAL!$AH:$AH,0)),"YES","NO")</f>
        <v>NO</v>
      </c>
    </row>
    <row r="12" spans="1:35" x14ac:dyDescent="0.2">
      <c r="A12" t="s">
        <v>67</v>
      </c>
      <c r="B12">
        <v>73675671</v>
      </c>
      <c r="C12">
        <v>73675671</v>
      </c>
      <c r="D12" t="s">
        <v>45</v>
      </c>
      <c r="E12" t="s">
        <v>35</v>
      </c>
      <c r="F12" t="s">
        <v>36</v>
      </c>
      <c r="G12" t="s">
        <v>71</v>
      </c>
      <c r="H12" t="s">
        <v>38</v>
      </c>
      <c r="I12" t="s">
        <v>72</v>
      </c>
      <c r="O12">
        <v>0.25</v>
      </c>
      <c r="P12" t="s">
        <v>41</v>
      </c>
      <c r="Q12" t="s">
        <v>41</v>
      </c>
      <c r="R12" t="s">
        <v>41</v>
      </c>
      <c r="S12" t="s">
        <v>41</v>
      </c>
      <c r="T12">
        <v>9.1149999999999998E-3</v>
      </c>
      <c r="U12" t="s">
        <v>73</v>
      </c>
      <c r="V12">
        <v>1</v>
      </c>
      <c r="W12" t="s">
        <v>43</v>
      </c>
      <c r="X12" t="s">
        <v>41</v>
      </c>
      <c r="Y12" t="s">
        <v>41</v>
      </c>
      <c r="Z12" t="s">
        <v>41</v>
      </c>
      <c r="AA12">
        <v>3.24</v>
      </c>
      <c r="AB12">
        <v>1.33</v>
      </c>
      <c r="AC12">
        <v>7.8579999999999997</v>
      </c>
      <c r="AD12">
        <v>32</v>
      </c>
      <c r="AE12" t="s">
        <v>512</v>
      </c>
      <c r="AF12">
        <v>16</v>
      </c>
      <c r="AG12" t="s">
        <v>517</v>
      </c>
      <c r="AH12" t="str">
        <f t="shared" si="0"/>
        <v>chr2_73675671_G_T</v>
      </c>
      <c r="AI12" s="2" t="str">
        <f>IF(ISNUMBER(MATCH(AH12,MM47_FINAL!$AH:$AH,0)),"YES","NO")</f>
        <v>NO</v>
      </c>
    </row>
    <row r="13" spans="1:35" x14ac:dyDescent="0.2">
      <c r="A13" t="s">
        <v>67</v>
      </c>
      <c r="B13">
        <v>96940818</v>
      </c>
      <c r="C13">
        <v>96940818</v>
      </c>
      <c r="D13" t="s">
        <v>34</v>
      </c>
      <c r="E13" t="s">
        <v>35</v>
      </c>
      <c r="F13" t="s">
        <v>36</v>
      </c>
      <c r="G13" t="s">
        <v>74</v>
      </c>
      <c r="H13" t="s">
        <v>47</v>
      </c>
      <c r="I13" t="s">
        <v>75</v>
      </c>
      <c r="J13" t="s">
        <v>76</v>
      </c>
      <c r="O13">
        <v>0</v>
      </c>
      <c r="P13">
        <v>1</v>
      </c>
      <c r="Q13" t="s">
        <v>42</v>
      </c>
      <c r="R13">
        <v>0.999</v>
      </c>
      <c r="S13" t="s">
        <v>42</v>
      </c>
      <c r="T13">
        <v>0</v>
      </c>
      <c r="U13" t="s">
        <v>42</v>
      </c>
      <c r="V13">
        <v>0.99999499999999997</v>
      </c>
      <c r="W13" t="s">
        <v>42</v>
      </c>
      <c r="X13">
        <v>3.7349999999999999</v>
      </c>
      <c r="Y13" t="s">
        <v>52</v>
      </c>
      <c r="Z13">
        <v>-0.71</v>
      </c>
      <c r="AA13">
        <v>5.49</v>
      </c>
      <c r="AB13">
        <v>2.5920000000000001</v>
      </c>
      <c r="AC13">
        <v>16.963799999999999</v>
      </c>
      <c r="AD13">
        <v>31</v>
      </c>
      <c r="AE13" t="s">
        <v>512</v>
      </c>
      <c r="AF13">
        <v>7</v>
      </c>
      <c r="AG13" t="s">
        <v>517</v>
      </c>
      <c r="AH13" t="str">
        <f t="shared" si="0"/>
        <v>chr2_96940818_C_T</v>
      </c>
      <c r="AI13" s="2" t="str">
        <f>IF(ISNUMBER(MATCH(AH13,MM47_FINAL!$AH:$AH,0)),"YES","NO")</f>
        <v>NO</v>
      </c>
    </row>
    <row r="14" spans="1:35" x14ac:dyDescent="0.2">
      <c r="A14" t="s">
        <v>67</v>
      </c>
      <c r="B14">
        <v>96959142</v>
      </c>
      <c r="C14">
        <v>96959142</v>
      </c>
      <c r="D14" t="s">
        <v>34</v>
      </c>
      <c r="E14" t="s">
        <v>43</v>
      </c>
      <c r="F14" t="s">
        <v>36</v>
      </c>
      <c r="G14" t="s">
        <v>74</v>
      </c>
      <c r="H14" t="s">
        <v>47</v>
      </c>
      <c r="I14" t="s">
        <v>77</v>
      </c>
      <c r="J14" t="s">
        <v>78</v>
      </c>
      <c r="O14">
        <v>0</v>
      </c>
      <c r="P14">
        <v>1</v>
      </c>
      <c r="Q14" t="s">
        <v>42</v>
      </c>
      <c r="R14">
        <v>0.998</v>
      </c>
      <c r="S14" t="s">
        <v>42</v>
      </c>
      <c r="T14">
        <v>0</v>
      </c>
      <c r="U14" t="s">
        <v>42</v>
      </c>
      <c r="V14">
        <v>0.99999800000000005</v>
      </c>
      <c r="W14" t="s">
        <v>42</v>
      </c>
      <c r="X14">
        <v>3.48</v>
      </c>
      <c r="Y14" t="s">
        <v>50</v>
      </c>
      <c r="Z14">
        <v>0.88</v>
      </c>
      <c r="AA14">
        <v>6.17</v>
      </c>
      <c r="AB14">
        <v>2.9409999999999998</v>
      </c>
      <c r="AC14">
        <v>19.6509</v>
      </c>
      <c r="AD14">
        <v>33</v>
      </c>
      <c r="AE14" t="s">
        <v>512</v>
      </c>
      <c r="AF14">
        <v>9</v>
      </c>
      <c r="AG14" t="s">
        <v>517</v>
      </c>
      <c r="AH14" t="str">
        <f t="shared" si="0"/>
        <v>chr2_96959142_C_A</v>
      </c>
      <c r="AI14" s="2" t="str">
        <f>IF(ISNUMBER(MATCH(AH14,MM47_FINAL!$AH:$AH,0)),"YES","NO")</f>
        <v>NO</v>
      </c>
    </row>
    <row r="15" spans="1:35" x14ac:dyDescent="0.2">
      <c r="A15" t="s">
        <v>67</v>
      </c>
      <c r="B15">
        <v>97462830</v>
      </c>
      <c r="C15">
        <v>97462830</v>
      </c>
      <c r="D15" t="s">
        <v>34</v>
      </c>
      <c r="E15" t="s">
        <v>35</v>
      </c>
      <c r="F15" t="s">
        <v>36</v>
      </c>
      <c r="G15" t="s">
        <v>79</v>
      </c>
      <c r="H15" t="s">
        <v>47</v>
      </c>
      <c r="I15" t="s">
        <v>80</v>
      </c>
      <c r="J15" t="s">
        <v>81</v>
      </c>
      <c r="O15">
        <v>0</v>
      </c>
      <c r="P15">
        <v>1</v>
      </c>
      <c r="Q15" t="s">
        <v>42</v>
      </c>
      <c r="R15">
        <v>1</v>
      </c>
      <c r="S15" t="s">
        <v>42</v>
      </c>
      <c r="T15">
        <v>0</v>
      </c>
      <c r="U15" t="s">
        <v>42</v>
      </c>
      <c r="V15">
        <v>0.99897599999999998</v>
      </c>
      <c r="W15" t="s">
        <v>42</v>
      </c>
      <c r="X15">
        <v>4.3499999999999996</v>
      </c>
      <c r="Y15" t="s">
        <v>52</v>
      </c>
      <c r="Z15">
        <v>-3.79</v>
      </c>
      <c r="AA15">
        <v>5.0999999999999996</v>
      </c>
      <c r="AB15">
        <v>2.5459999999999998</v>
      </c>
      <c r="AC15">
        <v>17.640899999999998</v>
      </c>
      <c r="AD15">
        <v>32</v>
      </c>
      <c r="AE15" s="5" t="s">
        <v>521</v>
      </c>
      <c r="AF15">
        <v>1</v>
      </c>
      <c r="AG15" t="s">
        <v>44</v>
      </c>
      <c r="AH15" t="str">
        <f t="shared" si="0"/>
        <v>chr2_97462830_C_T</v>
      </c>
      <c r="AI15" s="2" t="str">
        <f>IF(ISNUMBER(MATCH(AH15,MM47_FINAL!$AH:$AH,0)),"YES","NO")</f>
        <v>NO</v>
      </c>
    </row>
    <row r="16" spans="1:35" x14ac:dyDescent="0.2">
      <c r="A16" t="s">
        <v>67</v>
      </c>
      <c r="B16">
        <v>234969123</v>
      </c>
      <c r="C16">
        <v>234969123</v>
      </c>
      <c r="D16" t="s">
        <v>45</v>
      </c>
      <c r="E16" t="s">
        <v>35</v>
      </c>
      <c r="F16" t="s">
        <v>36</v>
      </c>
      <c r="G16" t="s">
        <v>82</v>
      </c>
      <c r="H16" t="s">
        <v>47</v>
      </c>
      <c r="I16" t="s">
        <v>83</v>
      </c>
      <c r="J16" t="s">
        <v>84</v>
      </c>
      <c r="O16">
        <v>0.04</v>
      </c>
      <c r="P16">
        <v>0.999</v>
      </c>
      <c r="Q16" t="s">
        <v>42</v>
      </c>
      <c r="R16">
        <v>0.997</v>
      </c>
      <c r="S16" t="s">
        <v>42</v>
      </c>
      <c r="T16">
        <v>0</v>
      </c>
      <c r="U16" t="s">
        <v>42</v>
      </c>
      <c r="V16" t="s">
        <v>41</v>
      </c>
      <c r="W16" t="s">
        <v>41</v>
      </c>
      <c r="X16">
        <v>2.19</v>
      </c>
      <c r="Y16" t="s">
        <v>50</v>
      </c>
      <c r="Z16">
        <v>0.42</v>
      </c>
      <c r="AA16">
        <v>5.28</v>
      </c>
      <c r="AB16">
        <v>2.4540000000000002</v>
      </c>
      <c r="AC16">
        <v>14.4284</v>
      </c>
      <c r="AD16">
        <v>32</v>
      </c>
      <c r="AE16" t="s">
        <v>512</v>
      </c>
      <c r="AF16">
        <v>11</v>
      </c>
      <c r="AG16" t="s">
        <v>517</v>
      </c>
      <c r="AH16" t="str">
        <f t="shared" si="0"/>
        <v>chr2_234969123_G_T</v>
      </c>
      <c r="AI16" s="2" t="str">
        <f>IF(ISNUMBER(MATCH(AH16,MM47_FINAL!$AH:$AH,0)),"YES","NO")</f>
        <v>NO</v>
      </c>
    </row>
    <row r="17" spans="1:35" x14ac:dyDescent="0.2">
      <c r="A17" t="s">
        <v>85</v>
      </c>
      <c r="B17">
        <v>14509690</v>
      </c>
      <c r="C17">
        <v>14509690</v>
      </c>
      <c r="D17" t="s">
        <v>45</v>
      </c>
      <c r="E17" t="s">
        <v>35</v>
      </c>
      <c r="F17" t="s">
        <v>36</v>
      </c>
      <c r="G17" t="s">
        <v>86</v>
      </c>
      <c r="H17" t="s">
        <v>47</v>
      </c>
      <c r="I17" t="s">
        <v>87</v>
      </c>
      <c r="J17" t="s">
        <v>88</v>
      </c>
      <c r="O17">
        <v>0</v>
      </c>
      <c r="P17">
        <v>1</v>
      </c>
      <c r="Q17" t="s">
        <v>42</v>
      </c>
      <c r="R17">
        <v>1</v>
      </c>
      <c r="S17" t="s">
        <v>42</v>
      </c>
      <c r="T17">
        <v>9.9999999999999995E-7</v>
      </c>
      <c r="U17" t="s">
        <v>42</v>
      </c>
      <c r="V17">
        <v>0.99421899999999996</v>
      </c>
      <c r="W17" t="s">
        <v>42</v>
      </c>
      <c r="X17">
        <v>4.1100000000000003</v>
      </c>
      <c r="Y17" t="s">
        <v>52</v>
      </c>
      <c r="Z17">
        <v>-1.07</v>
      </c>
      <c r="AA17">
        <v>5</v>
      </c>
      <c r="AB17">
        <v>2.3109999999999999</v>
      </c>
      <c r="AC17">
        <v>18.299499999999998</v>
      </c>
      <c r="AD17">
        <v>33</v>
      </c>
      <c r="AE17" s="5" t="s">
        <v>521</v>
      </c>
      <c r="AF17">
        <v>1</v>
      </c>
      <c r="AG17" t="s">
        <v>44</v>
      </c>
      <c r="AH17" t="str">
        <f t="shared" si="0"/>
        <v>chr3_14509690_G_T</v>
      </c>
      <c r="AI17" s="2" t="str">
        <f>IF(ISNUMBER(MATCH(AH17,MM47_FINAL!$AH:$AH,0)),"YES","NO")</f>
        <v>NO</v>
      </c>
    </row>
    <row r="18" spans="1:35" x14ac:dyDescent="0.2">
      <c r="A18" t="s">
        <v>85</v>
      </c>
      <c r="B18">
        <v>14509691</v>
      </c>
      <c r="C18">
        <v>14509691</v>
      </c>
      <c r="D18" t="s">
        <v>45</v>
      </c>
      <c r="E18" t="s">
        <v>43</v>
      </c>
      <c r="F18" t="s">
        <v>36</v>
      </c>
      <c r="G18" t="s">
        <v>86</v>
      </c>
      <c r="H18" t="s">
        <v>47</v>
      </c>
      <c r="I18" t="s">
        <v>89</v>
      </c>
      <c r="J18" t="s">
        <v>88</v>
      </c>
      <c r="O18">
        <v>0.01</v>
      </c>
      <c r="P18">
        <v>0.999</v>
      </c>
      <c r="Q18" t="s">
        <v>42</v>
      </c>
      <c r="R18">
        <v>0.98899999999999999</v>
      </c>
      <c r="S18" t="s">
        <v>42</v>
      </c>
      <c r="T18">
        <v>9.9999999999999995E-7</v>
      </c>
      <c r="U18" t="s">
        <v>42</v>
      </c>
      <c r="V18">
        <v>0.98368699999999998</v>
      </c>
      <c r="W18" t="s">
        <v>42</v>
      </c>
      <c r="X18">
        <v>2.76</v>
      </c>
      <c r="Y18" t="s">
        <v>50</v>
      </c>
      <c r="Z18">
        <v>-0.94</v>
      </c>
      <c r="AA18">
        <v>5</v>
      </c>
      <c r="AB18">
        <v>2.3109999999999999</v>
      </c>
      <c r="AC18">
        <v>18.299499999999998</v>
      </c>
      <c r="AD18">
        <v>31</v>
      </c>
      <c r="AE18" s="5" t="s">
        <v>521</v>
      </c>
      <c r="AF18">
        <v>1</v>
      </c>
      <c r="AG18" t="s">
        <v>44</v>
      </c>
      <c r="AH18" t="str">
        <f t="shared" si="0"/>
        <v>chr3_14509691_G_A</v>
      </c>
      <c r="AI18" s="2" t="str">
        <f>IF(ISNUMBER(MATCH(AH18,MM47_FINAL!$AH:$AH,0)),"YES","NO")</f>
        <v>NO</v>
      </c>
    </row>
    <row r="19" spans="1:35" x14ac:dyDescent="0.2">
      <c r="A19" t="s">
        <v>85</v>
      </c>
      <c r="B19">
        <v>27439188</v>
      </c>
      <c r="C19">
        <v>27439188</v>
      </c>
      <c r="D19" t="s">
        <v>45</v>
      </c>
      <c r="E19" t="s">
        <v>35</v>
      </c>
      <c r="F19" t="s">
        <v>36</v>
      </c>
      <c r="G19" t="s">
        <v>90</v>
      </c>
      <c r="H19" t="s">
        <v>47</v>
      </c>
      <c r="I19" t="s">
        <v>91</v>
      </c>
      <c r="J19" t="s">
        <v>92</v>
      </c>
      <c r="O19">
        <v>0</v>
      </c>
      <c r="P19">
        <v>1</v>
      </c>
      <c r="Q19" t="s">
        <v>42</v>
      </c>
      <c r="R19">
        <v>1</v>
      </c>
      <c r="S19" t="s">
        <v>42</v>
      </c>
      <c r="T19">
        <v>0</v>
      </c>
      <c r="U19" t="s">
        <v>42</v>
      </c>
      <c r="V19">
        <v>0.99975099999999995</v>
      </c>
      <c r="W19" t="s">
        <v>42</v>
      </c>
      <c r="X19">
        <v>3.3</v>
      </c>
      <c r="Y19" t="s">
        <v>50</v>
      </c>
      <c r="Z19">
        <v>-3.32</v>
      </c>
      <c r="AA19">
        <v>5.71</v>
      </c>
      <c r="AB19">
        <v>2.7120000000000002</v>
      </c>
      <c r="AC19">
        <v>19.913900000000002</v>
      </c>
      <c r="AD19">
        <v>32</v>
      </c>
      <c r="AE19" t="s">
        <v>512</v>
      </c>
      <c r="AF19">
        <v>13</v>
      </c>
      <c r="AG19" t="s">
        <v>517</v>
      </c>
      <c r="AH19" t="str">
        <f t="shared" si="0"/>
        <v>chr3_27439188_G_T</v>
      </c>
      <c r="AI19" s="2" t="str">
        <f>IF(ISNUMBER(MATCH(AH19,MM47_FINAL!$AH:$AH,0)),"YES","NO")</f>
        <v>NO</v>
      </c>
    </row>
    <row r="20" spans="1:35" x14ac:dyDescent="0.2">
      <c r="A20" t="s">
        <v>85</v>
      </c>
      <c r="B20">
        <v>45867820</v>
      </c>
      <c r="C20">
        <v>45867820</v>
      </c>
      <c r="D20" t="s">
        <v>34</v>
      </c>
      <c r="E20" t="s">
        <v>43</v>
      </c>
      <c r="F20" t="s">
        <v>36</v>
      </c>
      <c r="G20" t="s">
        <v>93</v>
      </c>
      <c r="H20" t="s">
        <v>38</v>
      </c>
      <c r="I20" t="s">
        <v>94</v>
      </c>
      <c r="J20" t="s">
        <v>95</v>
      </c>
      <c r="O20">
        <v>0.01</v>
      </c>
      <c r="P20" t="s">
        <v>41</v>
      </c>
      <c r="Q20" t="s">
        <v>41</v>
      </c>
      <c r="R20" t="s">
        <v>41</v>
      </c>
      <c r="S20" t="s">
        <v>41</v>
      </c>
      <c r="T20">
        <v>0</v>
      </c>
      <c r="U20" t="s">
        <v>42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>
        <v>4.5199999999999996</v>
      </c>
      <c r="AB20">
        <v>1.411</v>
      </c>
      <c r="AC20">
        <v>9.0250000000000004</v>
      </c>
      <c r="AD20">
        <v>38</v>
      </c>
      <c r="AE20" t="s">
        <v>512</v>
      </c>
      <c r="AF20">
        <v>8</v>
      </c>
      <c r="AG20" t="s">
        <v>517</v>
      </c>
      <c r="AH20" t="str">
        <f t="shared" si="0"/>
        <v>chr3_45867820_C_A</v>
      </c>
      <c r="AI20" s="2" t="str">
        <f>IF(ISNUMBER(MATCH(AH20,MM47_FINAL!$AH:$AH,0)),"YES","NO")</f>
        <v>NO</v>
      </c>
    </row>
    <row r="21" spans="1:35" x14ac:dyDescent="0.2">
      <c r="A21" t="s">
        <v>85</v>
      </c>
      <c r="B21">
        <v>93624882</v>
      </c>
      <c r="C21">
        <v>93624882</v>
      </c>
      <c r="D21" t="s">
        <v>34</v>
      </c>
      <c r="E21" t="s">
        <v>43</v>
      </c>
      <c r="F21" t="s">
        <v>36</v>
      </c>
      <c r="G21" t="s">
        <v>96</v>
      </c>
      <c r="H21" t="s">
        <v>47</v>
      </c>
      <c r="I21" t="s">
        <v>97</v>
      </c>
      <c r="J21" t="s">
        <v>98</v>
      </c>
      <c r="K21" t="s">
        <v>99</v>
      </c>
      <c r="L21">
        <v>7.7000000000000001E-5</v>
      </c>
      <c r="O21">
        <v>0</v>
      </c>
      <c r="P21">
        <v>1</v>
      </c>
      <c r="Q21" t="s">
        <v>42</v>
      </c>
      <c r="R21">
        <v>1</v>
      </c>
      <c r="S21" t="s">
        <v>42</v>
      </c>
      <c r="T21">
        <v>3.1999999999999999E-5</v>
      </c>
      <c r="U21" t="s">
        <v>42</v>
      </c>
      <c r="V21">
        <v>3.0000000000000001E-6</v>
      </c>
      <c r="W21" t="s">
        <v>73</v>
      </c>
      <c r="X21">
        <v>4.03</v>
      </c>
      <c r="Y21" t="s">
        <v>52</v>
      </c>
      <c r="Z21">
        <v>-5.45</v>
      </c>
      <c r="AA21">
        <v>4.4400000000000004</v>
      </c>
      <c r="AB21">
        <v>2.3140000000000001</v>
      </c>
      <c r="AC21">
        <v>17.257200000000001</v>
      </c>
      <c r="AD21">
        <v>31</v>
      </c>
      <c r="AE21" t="s">
        <v>512</v>
      </c>
      <c r="AF21">
        <v>8</v>
      </c>
      <c r="AG21" t="s">
        <v>517</v>
      </c>
      <c r="AH21" t="str">
        <f t="shared" si="0"/>
        <v>chr3_93624882_C_A</v>
      </c>
      <c r="AI21" s="2" t="str">
        <f>IF(ISNUMBER(MATCH(AH21,MM47_FINAL!$AH:$AH,0)),"YES","NO")</f>
        <v>NO</v>
      </c>
    </row>
    <row r="22" spans="1:35" x14ac:dyDescent="0.2">
      <c r="A22" t="s">
        <v>85</v>
      </c>
      <c r="B22">
        <v>121489220</v>
      </c>
      <c r="C22">
        <v>121489220</v>
      </c>
      <c r="D22" t="s">
        <v>43</v>
      </c>
      <c r="E22" t="s">
        <v>35</v>
      </c>
      <c r="F22" t="s">
        <v>36</v>
      </c>
      <c r="G22" t="s">
        <v>100</v>
      </c>
      <c r="H22" t="s">
        <v>38</v>
      </c>
      <c r="I22" t="s">
        <v>101</v>
      </c>
      <c r="J22" t="s">
        <v>102</v>
      </c>
      <c r="O22">
        <v>1</v>
      </c>
      <c r="P22" t="s">
        <v>41</v>
      </c>
      <c r="Q22" t="s">
        <v>41</v>
      </c>
      <c r="R22" t="s">
        <v>41</v>
      </c>
      <c r="S22" t="s">
        <v>41</v>
      </c>
      <c r="T22">
        <v>2.99E-4</v>
      </c>
      <c r="U22" t="s">
        <v>42</v>
      </c>
      <c r="V22">
        <v>0.99971900000000002</v>
      </c>
      <c r="W22" t="s">
        <v>42</v>
      </c>
      <c r="X22" t="s">
        <v>41</v>
      </c>
      <c r="Y22" t="s">
        <v>41</v>
      </c>
      <c r="Z22" t="s">
        <v>41</v>
      </c>
      <c r="AA22">
        <v>5.49</v>
      </c>
      <c r="AB22">
        <v>2.3039999999999998</v>
      </c>
      <c r="AC22">
        <v>11.909000000000001</v>
      </c>
      <c r="AD22">
        <v>36</v>
      </c>
      <c r="AE22" t="s">
        <v>512</v>
      </c>
      <c r="AF22">
        <v>4</v>
      </c>
      <c r="AG22" t="s">
        <v>517</v>
      </c>
      <c r="AH22" t="str">
        <f t="shared" si="0"/>
        <v>chr3_121489220_A_T</v>
      </c>
      <c r="AI22" s="2" t="str">
        <f>IF(ISNUMBER(MATCH(AH22,MM47_FINAL!$AH:$AH,0)),"YES","NO")</f>
        <v>NO</v>
      </c>
    </row>
    <row r="23" spans="1:35" x14ac:dyDescent="0.2">
      <c r="A23" t="s">
        <v>85</v>
      </c>
      <c r="B23">
        <v>121516036</v>
      </c>
      <c r="C23">
        <v>121516036</v>
      </c>
      <c r="D23" t="s">
        <v>34</v>
      </c>
      <c r="E23" t="s">
        <v>43</v>
      </c>
      <c r="F23" t="s">
        <v>36</v>
      </c>
      <c r="G23" t="s">
        <v>100</v>
      </c>
      <c r="H23" t="s">
        <v>38</v>
      </c>
      <c r="I23" t="s">
        <v>103</v>
      </c>
      <c r="J23" t="s">
        <v>104</v>
      </c>
      <c r="O23">
        <v>0.48</v>
      </c>
      <c r="P23" t="s">
        <v>41</v>
      </c>
      <c r="Q23" t="s">
        <v>41</v>
      </c>
      <c r="R23" t="s">
        <v>41</v>
      </c>
      <c r="S23" t="s">
        <v>41</v>
      </c>
      <c r="T23">
        <v>3.0000000000000001E-6</v>
      </c>
      <c r="U23" t="s">
        <v>42</v>
      </c>
      <c r="V23">
        <v>1</v>
      </c>
      <c r="W23" t="s">
        <v>43</v>
      </c>
      <c r="X23" t="s">
        <v>41</v>
      </c>
      <c r="Y23" t="s">
        <v>41</v>
      </c>
      <c r="Z23" t="s">
        <v>41</v>
      </c>
      <c r="AA23">
        <v>2.54</v>
      </c>
      <c r="AB23">
        <v>0.78700000000000003</v>
      </c>
      <c r="AC23">
        <v>6.9481999999999999</v>
      </c>
      <c r="AD23">
        <v>34</v>
      </c>
      <c r="AE23" t="s">
        <v>512</v>
      </c>
      <c r="AF23">
        <v>10</v>
      </c>
      <c r="AG23" t="s">
        <v>517</v>
      </c>
      <c r="AH23" t="str">
        <f t="shared" si="0"/>
        <v>chr3_121516036_C_A</v>
      </c>
      <c r="AI23" s="2" t="str">
        <f>IF(ISNUMBER(MATCH(AH23,MM47_FINAL!$AH:$AH,0)),"YES","NO")</f>
        <v>NO</v>
      </c>
    </row>
    <row r="24" spans="1:35" x14ac:dyDescent="0.2">
      <c r="A24" t="s">
        <v>85</v>
      </c>
      <c r="B24">
        <v>150690486</v>
      </c>
      <c r="C24">
        <v>150690486</v>
      </c>
      <c r="D24" t="s">
        <v>45</v>
      </c>
      <c r="E24" t="s">
        <v>43</v>
      </c>
      <c r="F24" t="s">
        <v>36</v>
      </c>
      <c r="G24" t="s">
        <v>105</v>
      </c>
      <c r="H24" t="s">
        <v>38</v>
      </c>
      <c r="I24" t="s">
        <v>106</v>
      </c>
      <c r="J24" t="s">
        <v>107</v>
      </c>
      <c r="O24">
        <v>0.44</v>
      </c>
      <c r="P24" t="s">
        <v>41</v>
      </c>
      <c r="Q24" t="s">
        <v>41</v>
      </c>
      <c r="R24" t="s">
        <v>41</v>
      </c>
      <c r="S24" t="s">
        <v>41</v>
      </c>
      <c r="T24">
        <v>1.3760000000000001E-3</v>
      </c>
      <c r="U24" t="s">
        <v>73</v>
      </c>
      <c r="V24">
        <v>1</v>
      </c>
      <c r="W24" t="s">
        <v>43</v>
      </c>
      <c r="X24" t="s">
        <v>41</v>
      </c>
      <c r="Y24" t="s">
        <v>41</v>
      </c>
      <c r="Z24" t="s">
        <v>41</v>
      </c>
      <c r="AA24">
        <v>4.62</v>
      </c>
      <c r="AB24">
        <v>2.6179999999999999</v>
      </c>
      <c r="AC24">
        <v>8.7264999999999997</v>
      </c>
      <c r="AD24">
        <v>38</v>
      </c>
      <c r="AE24" t="s">
        <v>512</v>
      </c>
      <c r="AF24">
        <v>22</v>
      </c>
      <c r="AG24" t="s">
        <v>517</v>
      </c>
      <c r="AH24" t="str">
        <f t="shared" si="0"/>
        <v>chr3_150690486_G_A</v>
      </c>
      <c r="AI24" s="2" t="str">
        <f>IF(ISNUMBER(MATCH(AH24,MM47_FINAL!$AH:$AH,0)),"YES","NO")</f>
        <v>NO</v>
      </c>
    </row>
    <row r="25" spans="1:35" x14ac:dyDescent="0.2">
      <c r="A25" t="s">
        <v>85</v>
      </c>
      <c r="B25">
        <v>184072350</v>
      </c>
      <c r="C25">
        <v>184072350</v>
      </c>
      <c r="D25" t="s">
        <v>34</v>
      </c>
      <c r="E25" t="s">
        <v>35</v>
      </c>
      <c r="F25" t="s">
        <v>36</v>
      </c>
      <c r="G25" t="s">
        <v>108</v>
      </c>
      <c r="H25" t="s">
        <v>47</v>
      </c>
      <c r="I25" t="s">
        <v>109</v>
      </c>
      <c r="J25" t="s">
        <v>110</v>
      </c>
      <c r="O25">
        <v>0.01</v>
      </c>
      <c r="P25">
        <v>0.999</v>
      </c>
      <c r="Q25" t="s">
        <v>42</v>
      </c>
      <c r="R25">
        <v>0.98499999999999999</v>
      </c>
      <c r="S25" t="s">
        <v>42</v>
      </c>
      <c r="T25">
        <v>6.0000000000000002E-6</v>
      </c>
      <c r="U25" t="s">
        <v>42</v>
      </c>
      <c r="V25" t="s">
        <v>41</v>
      </c>
      <c r="W25" t="s">
        <v>41</v>
      </c>
      <c r="X25">
        <v>3.2949999999999999</v>
      </c>
      <c r="Y25" t="s">
        <v>50</v>
      </c>
      <c r="Z25">
        <v>-2.66</v>
      </c>
      <c r="AA25">
        <v>5.0199999999999996</v>
      </c>
      <c r="AB25">
        <v>2.3420000000000001</v>
      </c>
      <c r="AC25">
        <v>17.967500000000001</v>
      </c>
      <c r="AD25">
        <v>31</v>
      </c>
      <c r="AE25" t="s">
        <v>512</v>
      </c>
      <c r="AF25">
        <v>7</v>
      </c>
      <c r="AG25" t="s">
        <v>517</v>
      </c>
      <c r="AH25" t="str">
        <f t="shared" si="0"/>
        <v>chr3_184072350_C_T</v>
      </c>
      <c r="AI25" s="2" t="str">
        <f>IF(ISNUMBER(MATCH(AH25,MM47_FINAL!$AH:$AH,0)),"YES","NO")</f>
        <v>NO</v>
      </c>
    </row>
    <row r="26" spans="1:35" x14ac:dyDescent="0.2">
      <c r="A26" t="s">
        <v>85</v>
      </c>
      <c r="B26">
        <v>193343911</v>
      </c>
      <c r="C26">
        <v>193343911</v>
      </c>
      <c r="D26" t="s">
        <v>34</v>
      </c>
      <c r="E26" t="s">
        <v>35</v>
      </c>
      <c r="F26" t="s">
        <v>36</v>
      </c>
      <c r="G26" t="s">
        <v>111</v>
      </c>
      <c r="H26" t="s">
        <v>38</v>
      </c>
      <c r="I26" t="s">
        <v>112</v>
      </c>
      <c r="J26" t="s">
        <v>113</v>
      </c>
      <c r="O26">
        <v>1</v>
      </c>
      <c r="P26" t="s">
        <v>41</v>
      </c>
      <c r="Q26" t="s">
        <v>41</v>
      </c>
      <c r="R26" t="s">
        <v>41</v>
      </c>
      <c r="S26" t="s">
        <v>41</v>
      </c>
      <c r="T26">
        <v>2.5583000000000002E-2</v>
      </c>
      <c r="U26" t="s">
        <v>73</v>
      </c>
      <c r="V26">
        <v>1</v>
      </c>
      <c r="W26" t="s">
        <v>43</v>
      </c>
      <c r="X26" t="s">
        <v>41</v>
      </c>
      <c r="Y26" t="s">
        <v>41</v>
      </c>
      <c r="Z26" t="s">
        <v>41</v>
      </c>
      <c r="AA26">
        <v>5.74</v>
      </c>
      <c r="AB26">
        <v>2.7320000000000002</v>
      </c>
      <c r="AC26">
        <v>14.518000000000001</v>
      </c>
      <c r="AD26">
        <v>41</v>
      </c>
      <c r="AE26" t="s">
        <v>512</v>
      </c>
      <c r="AF26">
        <v>19</v>
      </c>
      <c r="AG26" t="s">
        <v>517</v>
      </c>
      <c r="AH26" t="str">
        <f t="shared" si="0"/>
        <v>chr3_193343911_C_T</v>
      </c>
      <c r="AI26" s="2" t="str">
        <f>IF(ISNUMBER(MATCH(AH26,MM47_FINAL!$AH:$AH,0)),"YES","NO")</f>
        <v>NO</v>
      </c>
    </row>
    <row r="27" spans="1:35" x14ac:dyDescent="0.2">
      <c r="A27" t="s">
        <v>85</v>
      </c>
      <c r="B27">
        <v>195968940</v>
      </c>
      <c r="C27">
        <v>195968940</v>
      </c>
      <c r="D27" t="s">
        <v>34</v>
      </c>
      <c r="E27" t="s">
        <v>43</v>
      </c>
      <c r="F27" t="s">
        <v>36</v>
      </c>
      <c r="G27" t="s">
        <v>114</v>
      </c>
      <c r="H27" t="s">
        <v>47</v>
      </c>
      <c r="I27" t="s">
        <v>115</v>
      </c>
      <c r="J27" t="s">
        <v>116</v>
      </c>
      <c r="O27">
        <v>0</v>
      </c>
      <c r="P27">
        <v>0.996</v>
      </c>
      <c r="Q27" t="s">
        <v>42</v>
      </c>
      <c r="R27">
        <v>0.90600000000000003</v>
      </c>
      <c r="S27" t="s">
        <v>117</v>
      </c>
      <c r="T27">
        <v>0</v>
      </c>
      <c r="U27" t="s">
        <v>42</v>
      </c>
      <c r="V27">
        <v>0.99980000000000002</v>
      </c>
      <c r="W27" t="s">
        <v>42</v>
      </c>
      <c r="X27">
        <v>4.54</v>
      </c>
      <c r="Y27" t="s">
        <v>52</v>
      </c>
      <c r="Z27" t="s">
        <v>41</v>
      </c>
      <c r="AA27">
        <v>5.65</v>
      </c>
      <c r="AB27">
        <v>2.6850000000000001</v>
      </c>
      <c r="AC27">
        <v>18.779699999999998</v>
      </c>
      <c r="AD27">
        <v>34</v>
      </c>
      <c r="AE27" t="s">
        <v>512</v>
      </c>
      <c r="AF27">
        <v>12</v>
      </c>
      <c r="AG27" t="s">
        <v>517</v>
      </c>
      <c r="AH27" t="str">
        <f t="shared" si="0"/>
        <v>chr3_195968940_C_A</v>
      </c>
      <c r="AI27" s="2" t="str">
        <f>IF(ISNUMBER(MATCH(AH27,MM47_FINAL!$AH:$AH,0)),"YES","NO")</f>
        <v>NO</v>
      </c>
    </row>
    <row r="28" spans="1:35" x14ac:dyDescent="0.2">
      <c r="A28" t="s">
        <v>85</v>
      </c>
      <c r="B28">
        <v>195968943</v>
      </c>
      <c r="C28">
        <v>195968943</v>
      </c>
      <c r="D28" t="s">
        <v>35</v>
      </c>
      <c r="E28" t="s">
        <v>43</v>
      </c>
      <c r="F28" t="s">
        <v>36</v>
      </c>
      <c r="G28" t="s">
        <v>114</v>
      </c>
      <c r="H28" t="s">
        <v>47</v>
      </c>
      <c r="I28" t="s">
        <v>118</v>
      </c>
      <c r="J28" t="s">
        <v>116</v>
      </c>
      <c r="O28">
        <v>0</v>
      </c>
      <c r="P28">
        <v>0.93500000000000005</v>
      </c>
      <c r="Q28" t="s">
        <v>117</v>
      </c>
      <c r="R28">
        <v>0.60499999999999998</v>
      </c>
      <c r="S28" t="s">
        <v>117</v>
      </c>
      <c r="T28">
        <v>0</v>
      </c>
      <c r="U28" t="s">
        <v>42</v>
      </c>
      <c r="V28">
        <v>0.99086600000000002</v>
      </c>
      <c r="W28" t="s">
        <v>42</v>
      </c>
      <c r="X28">
        <v>2.87</v>
      </c>
      <c r="Y28" t="s">
        <v>50</v>
      </c>
      <c r="Z28" t="s">
        <v>41</v>
      </c>
      <c r="AA28">
        <v>5.65</v>
      </c>
      <c r="AB28">
        <v>2.169</v>
      </c>
      <c r="AC28">
        <v>15.1136</v>
      </c>
      <c r="AD28">
        <v>32</v>
      </c>
      <c r="AE28" t="s">
        <v>512</v>
      </c>
      <c r="AF28">
        <v>12</v>
      </c>
      <c r="AG28" t="s">
        <v>517</v>
      </c>
      <c r="AH28" t="str">
        <f t="shared" si="0"/>
        <v>chr3_195968943_T_A</v>
      </c>
      <c r="AI28" s="2" t="str">
        <f>IF(ISNUMBER(MATCH(AH28,MM47_FINAL!$AH:$AH,0)),"YES","NO")</f>
        <v>NO</v>
      </c>
    </row>
    <row r="29" spans="1:35" x14ac:dyDescent="0.2">
      <c r="A29" t="s">
        <v>119</v>
      </c>
      <c r="B29">
        <v>15542602</v>
      </c>
      <c r="C29">
        <v>15542602</v>
      </c>
      <c r="D29" t="s">
        <v>34</v>
      </c>
      <c r="E29" t="s">
        <v>35</v>
      </c>
      <c r="F29" t="s">
        <v>36</v>
      </c>
      <c r="G29" t="s">
        <v>120</v>
      </c>
      <c r="H29" t="s">
        <v>38</v>
      </c>
      <c r="I29" t="s">
        <v>121</v>
      </c>
      <c r="J29" t="s">
        <v>122</v>
      </c>
      <c r="O29">
        <v>0.95</v>
      </c>
      <c r="P29" t="s">
        <v>41</v>
      </c>
      <c r="Q29" t="s">
        <v>41</v>
      </c>
      <c r="R29" t="s">
        <v>41</v>
      </c>
      <c r="S29" t="s">
        <v>41</v>
      </c>
      <c r="T29">
        <v>3.9999999999999998E-6</v>
      </c>
      <c r="U29" t="s">
        <v>42</v>
      </c>
      <c r="V29">
        <v>1</v>
      </c>
      <c r="W29" t="s">
        <v>43</v>
      </c>
      <c r="X29" t="s">
        <v>41</v>
      </c>
      <c r="Y29" t="s">
        <v>41</v>
      </c>
      <c r="Z29" t="s">
        <v>41</v>
      </c>
      <c r="AA29">
        <v>4.09</v>
      </c>
      <c r="AB29">
        <v>1.2070000000000001</v>
      </c>
      <c r="AC29">
        <v>15.0518</v>
      </c>
      <c r="AD29">
        <v>38</v>
      </c>
      <c r="AE29" t="s">
        <v>512</v>
      </c>
      <c r="AF29">
        <v>8</v>
      </c>
      <c r="AG29" t="s">
        <v>517</v>
      </c>
      <c r="AH29" t="str">
        <f t="shared" si="0"/>
        <v>chr4_15542602_C_T</v>
      </c>
      <c r="AI29" s="2" t="str">
        <f>IF(ISNUMBER(MATCH(AH29,MM47_FINAL!$AH:$AH,0)),"YES","NO")</f>
        <v>NO</v>
      </c>
    </row>
    <row r="30" spans="1:35" s="3" customFormat="1" x14ac:dyDescent="0.2">
      <c r="A30" s="3" t="s">
        <v>123</v>
      </c>
      <c r="B30" s="3">
        <v>38458465</v>
      </c>
      <c r="C30" s="3">
        <v>38458465</v>
      </c>
      <c r="D30" s="3" t="s">
        <v>45</v>
      </c>
      <c r="E30" s="3" t="s">
        <v>43</v>
      </c>
      <c r="F30" s="3" t="s">
        <v>36</v>
      </c>
      <c r="G30" s="3" t="s">
        <v>124</v>
      </c>
      <c r="H30" s="3" t="s">
        <v>47</v>
      </c>
      <c r="I30" s="3" t="s">
        <v>125</v>
      </c>
      <c r="J30" s="3" t="s">
        <v>126</v>
      </c>
      <c r="L30" s="3">
        <v>3.0800000000000001E-4</v>
      </c>
      <c r="N30" s="3" t="s">
        <v>127</v>
      </c>
      <c r="O30" s="3">
        <v>0.06</v>
      </c>
      <c r="P30" s="3">
        <v>1</v>
      </c>
      <c r="Q30" s="3" t="s">
        <v>42</v>
      </c>
      <c r="R30" s="3">
        <v>1</v>
      </c>
      <c r="S30" s="3" t="s">
        <v>42</v>
      </c>
      <c r="T30" s="3">
        <v>0</v>
      </c>
      <c r="U30" s="3" t="s">
        <v>42</v>
      </c>
      <c r="V30" s="3">
        <v>0.99848700000000001</v>
      </c>
      <c r="W30" s="3" t="s">
        <v>42</v>
      </c>
      <c r="X30" s="3">
        <v>2.2850000000000001</v>
      </c>
      <c r="Y30" s="3" t="s">
        <v>50</v>
      </c>
      <c r="Z30" s="3">
        <v>-1.62</v>
      </c>
      <c r="AA30" s="3">
        <v>5.46</v>
      </c>
      <c r="AB30" s="3">
        <v>2.7210000000000001</v>
      </c>
      <c r="AC30" s="3">
        <v>19.660399999999999</v>
      </c>
      <c r="AD30" s="3">
        <v>32</v>
      </c>
      <c r="AE30" s="3" t="s">
        <v>512</v>
      </c>
      <c r="AF30" s="3">
        <v>37</v>
      </c>
      <c r="AG30" s="3" t="s">
        <v>517</v>
      </c>
      <c r="AH30" s="3" t="str">
        <f t="shared" si="0"/>
        <v>chr5_38458465_G_A</v>
      </c>
      <c r="AI30" s="4" t="str">
        <f>IF(ISNUMBER(MATCH(AH30,MM47_FINAL!$AH:$AH,0)),"YES","NO")</f>
        <v>YES</v>
      </c>
    </row>
    <row r="31" spans="1:35" x14ac:dyDescent="0.2">
      <c r="A31" t="s">
        <v>123</v>
      </c>
      <c r="B31">
        <v>92929435</v>
      </c>
      <c r="C31">
        <v>92929435</v>
      </c>
      <c r="D31" t="s">
        <v>34</v>
      </c>
      <c r="E31" t="s">
        <v>43</v>
      </c>
      <c r="F31" t="s">
        <v>36</v>
      </c>
      <c r="G31" t="s">
        <v>128</v>
      </c>
      <c r="H31" t="s">
        <v>47</v>
      </c>
      <c r="I31" t="s">
        <v>129</v>
      </c>
      <c r="J31" t="s">
        <v>130</v>
      </c>
      <c r="O31">
        <v>0.02</v>
      </c>
      <c r="P31">
        <v>0.998</v>
      </c>
      <c r="Q31" t="s">
        <v>42</v>
      </c>
      <c r="R31">
        <v>0.99399999999999999</v>
      </c>
      <c r="S31" t="s">
        <v>42</v>
      </c>
      <c r="T31">
        <v>0</v>
      </c>
      <c r="U31" t="s">
        <v>42</v>
      </c>
      <c r="V31">
        <v>0.97488200000000003</v>
      </c>
      <c r="W31" t="s">
        <v>42</v>
      </c>
      <c r="X31">
        <v>1.905</v>
      </c>
      <c r="Y31" t="s">
        <v>50</v>
      </c>
      <c r="Z31">
        <v>-4.59</v>
      </c>
      <c r="AA31">
        <v>6.17</v>
      </c>
      <c r="AB31">
        <v>2.9409999999999998</v>
      </c>
      <c r="AC31">
        <v>20.489799999999999</v>
      </c>
      <c r="AD31">
        <v>32</v>
      </c>
      <c r="AE31" t="s">
        <v>512</v>
      </c>
      <c r="AF31">
        <v>17</v>
      </c>
      <c r="AG31" t="s">
        <v>517</v>
      </c>
      <c r="AH31" t="str">
        <f t="shared" si="0"/>
        <v>chr5_92929435_C_A</v>
      </c>
      <c r="AI31" s="2" t="str">
        <f>IF(ISNUMBER(MATCH(AH31,MM47_FINAL!$AH:$AH,0)),"YES","NO")</f>
        <v>NO</v>
      </c>
    </row>
    <row r="32" spans="1:35" x14ac:dyDescent="0.2">
      <c r="A32" t="s">
        <v>123</v>
      </c>
      <c r="B32">
        <v>138145869</v>
      </c>
      <c r="C32">
        <v>138145869</v>
      </c>
      <c r="D32" t="s">
        <v>34</v>
      </c>
      <c r="E32" t="s">
        <v>45</v>
      </c>
      <c r="F32" t="s">
        <v>36</v>
      </c>
      <c r="G32" t="s">
        <v>131</v>
      </c>
      <c r="H32" t="s">
        <v>38</v>
      </c>
      <c r="I32" t="s">
        <v>132</v>
      </c>
      <c r="J32" t="s">
        <v>133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>
        <v>0</v>
      </c>
      <c r="U32" t="s">
        <v>42</v>
      </c>
      <c r="V32">
        <v>1</v>
      </c>
      <c r="W32" t="s">
        <v>43</v>
      </c>
      <c r="X32" t="s">
        <v>41</v>
      </c>
      <c r="Y32" t="s">
        <v>41</v>
      </c>
      <c r="Z32" t="s">
        <v>41</v>
      </c>
      <c r="AA32">
        <v>4.59</v>
      </c>
      <c r="AB32">
        <v>2.7149999999999999</v>
      </c>
      <c r="AC32">
        <v>14.851100000000001</v>
      </c>
      <c r="AD32">
        <v>37</v>
      </c>
      <c r="AE32" t="s">
        <v>512</v>
      </c>
      <c r="AF32">
        <v>23</v>
      </c>
      <c r="AG32" t="s">
        <v>517</v>
      </c>
      <c r="AH32" t="str">
        <f t="shared" si="0"/>
        <v>chr5_138145869_C_G</v>
      </c>
      <c r="AI32" s="2" t="str">
        <f>IF(ISNUMBER(MATCH(AH32,MM47_FINAL!$AH:$AH,0)),"YES","NO")</f>
        <v>NO</v>
      </c>
    </row>
    <row r="33" spans="1:35" x14ac:dyDescent="0.2">
      <c r="A33" t="s">
        <v>123</v>
      </c>
      <c r="B33">
        <v>138269752</v>
      </c>
      <c r="C33">
        <v>138269752</v>
      </c>
      <c r="D33" t="s">
        <v>45</v>
      </c>
      <c r="E33" t="s">
        <v>35</v>
      </c>
      <c r="F33" t="s">
        <v>36</v>
      </c>
      <c r="G33" t="s">
        <v>131</v>
      </c>
      <c r="H33" t="s">
        <v>38</v>
      </c>
      <c r="I33" t="s">
        <v>134</v>
      </c>
      <c r="J33" t="s">
        <v>135</v>
      </c>
      <c r="O33">
        <v>0</v>
      </c>
      <c r="P33" t="s">
        <v>41</v>
      </c>
      <c r="Q33" t="s">
        <v>41</v>
      </c>
      <c r="R33" t="s">
        <v>41</v>
      </c>
      <c r="S33" t="s">
        <v>41</v>
      </c>
      <c r="T33">
        <v>0</v>
      </c>
      <c r="U33" t="s">
        <v>42</v>
      </c>
      <c r="V33">
        <v>0.99938099999999996</v>
      </c>
      <c r="W33" t="s">
        <v>42</v>
      </c>
      <c r="X33" t="s">
        <v>41</v>
      </c>
      <c r="Y33" t="s">
        <v>41</v>
      </c>
      <c r="Z33" t="s">
        <v>41</v>
      </c>
      <c r="AA33">
        <v>4.7699999999999996</v>
      </c>
      <c r="AB33">
        <v>2.488</v>
      </c>
      <c r="AC33">
        <v>17.586600000000001</v>
      </c>
      <c r="AD33">
        <v>41</v>
      </c>
      <c r="AE33" s="5" t="s">
        <v>521</v>
      </c>
      <c r="AF33">
        <v>1</v>
      </c>
      <c r="AG33" t="s">
        <v>44</v>
      </c>
      <c r="AH33" t="str">
        <f t="shared" si="0"/>
        <v>chr5_138269752_G_T</v>
      </c>
      <c r="AI33" s="2" t="str">
        <f>IF(ISNUMBER(MATCH(AH33,MM47_FINAL!$AH:$AH,0)),"YES","NO")</f>
        <v>NO</v>
      </c>
    </row>
    <row r="34" spans="1:35" x14ac:dyDescent="0.2">
      <c r="A34" t="s">
        <v>123</v>
      </c>
      <c r="B34">
        <v>149294570</v>
      </c>
      <c r="C34">
        <v>149294570</v>
      </c>
      <c r="D34" t="s">
        <v>34</v>
      </c>
      <c r="E34" t="s">
        <v>43</v>
      </c>
      <c r="F34" t="s">
        <v>36</v>
      </c>
      <c r="G34" t="s">
        <v>136</v>
      </c>
      <c r="H34" t="s">
        <v>38</v>
      </c>
      <c r="I34" t="s">
        <v>137</v>
      </c>
      <c r="J34" t="s">
        <v>138</v>
      </c>
      <c r="O34">
        <v>0.23</v>
      </c>
      <c r="P34" t="s">
        <v>41</v>
      </c>
      <c r="Q34" t="s">
        <v>41</v>
      </c>
      <c r="R34" t="s">
        <v>41</v>
      </c>
      <c r="S34" t="s">
        <v>41</v>
      </c>
      <c r="T34">
        <v>0</v>
      </c>
      <c r="U34" t="s">
        <v>42</v>
      </c>
      <c r="V34">
        <v>1</v>
      </c>
      <c r="W34" t="s">
        <v>43</v>
      </c>
      <c r="X34" t="s">
        <v>41</v>
      </c>
      <c r="Y34" t="s">
        <v>41</v>
      </c>
      <c r="Z34" t="s">
        <v>41</v>
      </c>
      <c r="AA34">
        <v>5.19</v>
      </c>
      <c r="AB34">
        <v>2.5779999999999998</v>
      </c>
      <c r="AC34">
        <v>16.566099999999999</v>
      </c>
      <c r="AD34">
        <v>55</v>
      </c>
      <c r="AE34" t="s">
        <v>512</v>
      </c>
      <c r="AF34">
        <v>12</v>
      </c>
      <c r="AG34" t="s">
        <v>517</v>
      </c>
      <c r="AH34" t="str">
        <f t="shared" si="0"/>
        <v>chr5_149294570_C_A</v>
      </c>
      <c r="AI34" s="2" t="str">
        <f>IF(ISNUMBER(MATCH(AH34,MM47_FINAL!$AH:$AH,0)),"YES","NO")</f>
        <v>NO</v>
      </c>
    </row>
    <row r="35" spans="1:35" x14ac:dyDescent="0.2">
      <c r="A35" t="s">
        <v>123</v>
      </c>
      <c r="B35">
        <v>178419051</v>
      </c>
      <c r="C35">
        <v>178419051</v>
      </c>
      <c r="D35" t="s">
        <v>34</v>
      </c>
      <c r="E35" t="s">
        <v>45</v>
      </c>
      <c r="F35" t="s">
        <v>36</v>
      </c>
      <c r="G35" t="s">
        <v>139</v>
      </c>
      <c r="H35" t="s">
        <v>47</v>
      </c>
      <c r="I35" t="s">
        <v>140</v>
      </c>
      <c r="J35" t="s">
        <v>141</v>
      </c>
      <c r="O35">
        <v>0.42</v>
      </c>
      <c r="P35">
        <v>0.97499999999999998</v>
      </c>
      <c r="Q35" t="s">
        <v>42</v>
      </c>
      <c r="R35">
        <v>0.98399999999999999</v>
      </c>
      <c r="S35" t="s">
        <v>42</v>
      </c>
      <c r="T35" t="s">
        <v>41</v>
      </c>
      <c r="U35" t="s">
        <v>41</v>
      </c>
      <c r="V35">
        <v>0</v>
      </c>
      <c r="W35" t="s">
        <v>73</v>
      </c>
      <c r="X35">
        <v>2.4950000000000001</v>
      </c>
      <c r="Y35" t="s">
        <v>50</v>
      </c>
      <c r="Z35">
        <v>-1.49</v>
      </c>
      <c r="AA35">
        <v>5.48</v>
      </c>
      <c r="AB35">
        <v>2.746</v>
      </c>
      <c r="AC35">
        <v>17.239599999999999</v>
      </c>
      <c r="AD35">
        <v>31</v>
      </c>
      <c r="AE35" t="s">
        <v>512</v>
      </c>
      <c r="AF35">
        <v>9</v>
      </c>
      <c r="AG35" t="s">
        <v>517</v>
      </c>
      <c r="AH35" t="str">
        <f t="shared" si="0"/>
        <v>chr5_178419051_C_G</v>
      </c>
      <c r="AI35" s="2" t="str">
        <f>IF(ISNUMBER(MATCH(AH35,MM47_FINAL!$AH:$AH,0)),"YES","NO")</f>
        <v>NO</v>
      </c>
    </row>
    <row r="36" spans="1:35" x14ac:dyDescent="0.2">
      <c r="A36" t="s">
        <v>142</v>
      </c>
      <c r="B36">
        <v>35478746</v>
      </c>
      <c r="C36">
        <v>35478746</v>
      </c>
      <c r="D36" t="s">
        <v>34</v>
      </c>
      <c r="E36" t="s">
        <v>43</v>
      </c>
      <c r="F36" t="s">
        <v>36</v>
      </c>
      <c r="G36" t="s">
        <v>143</v>
      </c>
      <c r="H36" t="s">
        <v>38</v>
      </c>
      <c r="I36" t="s">
        <v>144</v>
      </c>
      <c r="O36">
        <v>0.74</v>
      </c>
      <c r="P36" t="s">
        <v>41</v>
      </c>
      <c r="Q36" t="s">
        <v>41</v>
      </c>
      <c r="R36" t="s">
        <v>41</v>
      </c>
      <c r="S36" t="s">
        <v>41</v>
      </c>
      <c r="T36">
        <v>0.91174599999999995</v>
      </c>
      <c r="U36" t="s">
        <v>73</v>
      </c>
      <c r="V36">
        <v>1</v>
      </c>
      <c r="W36" t="s">
        <v>43</v>
      </c>
      <c r="X36" t="s">
        <v>41</v>
      </c>
      <c r="Y36" t="s">
        <v>41</v>
      </c>
      <c r="Z36" t="s">
        <v>41</v>
      </c>
      <c r="AA36">
        <v>3.06</v>
      </c>
      <c r="AB36">
        <v>0.98099999999999998</v>
      </c>
      <c r="AC36">
        <v>6.7488999999999999</v>
      </c>
      <c r="AD36">
        <v>34</v>
      </c>
      <c r="AE36" t="s">
        <v>512</v>
      </c>
      <c r="AF36">
        <v>14</v>
      </c>
      <c r="AG36" t="s">
        <v>517</v>
      </c>
      <c r="AH36" t="str">
        <f t="shared" si="0"/>
        <v>chr6_35478746_C_A</v>
      </c>
      <c r="AI36" s="2" t="str">
        <f>IF(ISNUMBER(MATCH(AH36,MM47_FINAL!$AH:$AH,0)),"YES","NO")</f>
        <v>NO</v>
      </c>
    </row>
    <row r="37" spans="1:35" x14ac:dyDescent="0.2">
      <c r="A37" t="s">
        <v>142</v>
      </c>
      <c r="B37">
        <v>42156367</v>
      </c>
      <c r="C37">
        <v>42156367</v>
      </c>
      <c r="D37" t="s">
        <v>34</v>
      </c>
      <c r="E37" t="s">
        <v>43</v>
      </c>
      <c r="F37" t="s">
        <v>36</v>
      </c>
      <c r="G37" t="s">
        <v>145</v>
      </c>
      <c r="H37" t="s">
        <v>47</v>
      </c>
      <c r="I37" t="s">
        <v>146</v>
      </c>
      <c r="J37" t="s">
        <v>147</v>
      </c>
      <c r="O37">
        <v>0</v>
      </c>
      <c r="P37">
        <v>1</v>
      </c>
      <c r="Q37" t="s">
        <v>42</v>
      </c>
      <c r="R37">
        <v>1</v>
      </c>
      <c r="S37" t="s">
        <v>42</v>
      </c>
      <c r="T37">
        <v>0</v>
      </c>
      <c r="U37" t="s">
        <v>42</v>
      </c>
      <c r="V37">
        <v>1</v>
      </c>
      <c r="W37" t="s">
        <v>42</v>
      </c>
      <c r="X37">
        <v>3.82</v>
      </c>
      <c r="Y37" t="s">
        <v>52</v>
      </c>
      <c r="Z37">
        <v>-0.14000000000000001</v>
      </c>
      <c r="AA37">
        <v>4.87</v>
      </c>
      <c r="AB37">
        <v>2.6160000000000001</v>
      </c>
      <c r="AC37">
        <v>16.3185</v>
      </c>
      <c r="AD37">
        <v>31</v>
      </c>
      <c r="AE37" t="s">
        <v>512</v>
      </c>
      <c r="AF37">
        <v>7</v>
      </c>
      <c r="AG37" t="s">
        <v>517</v>
      </c>
      <c r="AH37" t="str">
        <f t="shared" si="0"/>
        <v>chr6_42156367_C_A</v>
      </c>
      <c r="AI37" s="2" t="str">
        <f>IF(ISNUMBER(MATCH(AH37,MM47_FINAL!$AH:$AH,0)),"YES","NO")</f>
        <v>NO</v>
      </c>
    </row>
    <row r="38" spans="1:35" x14ac:dyDescent="0.2">
      <c r="A38" t="s">
        <v>142</v>
      </c>
      <c r="B38">
        <v>121563347</v>
      </c>
      <c r="C38">
        <v>121563347</v>
      </c>
      <c r="D38" t="s">
        <v>34</v>
      </c>
      <c r="E38" t="s">
        <v>43</v>
      </c>
      <c r="F38" t="s">
        <v>36</v>
      </c>
      <c r="G38" t="s">
        <v>148</v>
      </c>
      <c r="H38" t="s">
        <v>47</v>
      </c>
      <c r="I38" t="s">
        <v>149</v>
      </c>
      <c r="J38" t="s">
        <v>150</v>
      </c>
      <c r="O38" t="s">
        <v>41</v>
      </c>
      <c r="P38">
        <v>1</v>
      </c>
      <c r="Q38" t="s">
        <v>42</v>
      </c>
      <c r="R38">
        <v>0.997</v>
      </c>
      <c r="S38" t="s">
        <v>42</v>
      </c>
      <c r="T38">
        <v>0</v>
      </c>
      <c r="U38" t="s">
        <v>42</v>
      </c>
      <c r="V38">
        <v>0.894034</v>
      </c>
      <c r="W38" t="s">
        <v>42</v>
      </c>
      <c r="X38">
        <v>2.2949999999999999</v>
      </c>
      <c r="Y38" t="s">
        <v>50</v>
      </c>
      <c r="Z38">
        <v>1.81</v>
      </c>
      <c r="AA38">
        <v>5</v>
      </c>
      <c r="AB38">
        <v>2.492</v>
      </c>
      <c r="AC38">
        <v>18.239899999999999</v>
      </c>
      <c r="AD38">
        <v>34</v>
      </c>
      <c r="AE38" t="s">
        <v>512</v>
      </c>
      <c r="AF38">
        <v>12</v>
      </c>
      <c r="AG38" t="s">
        <v>517</v>
      </c>
      <c r="AH38" t="str">
        <f t="shared" si="0"/>
        <v>chr6_121563347_C_A</v>
      </c>
      <c r="AI38" s="2" t="str">
        <f>IF(ISNUMBER(MATCH(AH38,MM47_FINAL!$AH:$AH,0)),"YES","NO")</f>
        <v>NO</v>
      </c>
    </row>
    <row r="39" spans="1:35" x14ac:dyDescent="0.2">
      <c r="A39" t="s">
        <v>151</v>
      </c>
      <c r="B39">
        <v>128037029</v>
      </c>
      <c r="C39">
        <v>128037029</v>
      </c>
      <c r="D39" t="s">
        <v>45</v>
      </c>
      <c r="E39" t="s">
        <v>34</v>
      </c>
      <c r="F39" t="s">
        <v>36</v>
      </c>
      <c r="G39" t="s">
        <v>152</v>
      </c>
      <c r="H39" t="s">
        <v>38</v>
      </c>
      <c r="I39" t="s">
        <v>153</v>
      </c>
      <c r="J39" t="s">
        <v>154</v>
      </c>
      <c r="O39">
        <v>1</v>
      </c>
      <c r="P39" t="s">
        <v>41</v>
      </c>
      <c r="Q39" t="s">
        <v>41</v>
      </c>
      <c r="R39" t="s">
        <v>41</v>
      </c>
      <c r="S39" t="s">
        <v>41</v>
      </c>
      <c r="T39">
        <v>0</v>
      </c>
      <c r="U39" t="s">
        <v>42</v>
      </c>
      <c r="V39">
        <v>1</v>
      </c>
      <c r="W39" t="s">
        <v>43</v>
      </c>
      <c r="X39" t="s">
        <v>41</v>
      </c>
      <c r="Y39" t="s">
        <v>41</v>
      </c>
      <c r="Z39" t="s">
        <v>41</v>
      </c>
      <c r="AA39">
        <v>0.02</v>
      </c>
      <c r="AB39">
        <v>-5.0999999999999997E-2</v>
      </c>
      <c r="AC39">
        <v>8.8810000000000002</v>
      </c>
      <c r="AD39">
        <v>36</v>
      </c>
      <c r="AE39" t="s">
        <v>512</v>
      </c>
      <c r="AF39">
        <v>8</v>
      </c>
      <c r="AG39" t="s">
        <v>517</v>
      </c>
      <c r="AH39" t="str">
        <f t="shared" si="0"/>
        <v>chr7_128037029_G_C</v>
      </c>
      <c r="AI39" s="2" t="str">
        <f>IF(ISNUMBER(MATCH(AH39,MM47_FINAL!$AH:$AH,0)),"YES","NO")</f>
        <v>NO</v>
      </c>
    </row>
    <row r="40" spans="1:35" x14ac:dyDescent="0.2">
      <c r="A40" t="s">
        <v>151</v>
      </c>
      <c r="B40">
        <v>128038580</v>
      </c>
      <c r="C40">
        <v>128038580</v>
      </c>
      <c r="D40" t="s">
        <v>45</v>
      </c>
      <c r="E40" t="s">
        <v>43</v>
      </c>
      <c r="F40" t="s">
        <v>36</v>
      </c>
      <c r="G40" t="s">
        <v>152</v>
      </c>
      <c r="H40" t="s">
        <v>47</v>
      </c>
      <c r="I40" t="s">
        <v>155</v>
      </c>
      <c r="J40" t="s">
        <v>156</v>
      </c>
      <c r="O40">
        <v>0</v>
      </c>
      <c r="P40">
        <v>0.997</v>
      </c>
      <c r="Q40" t="s">
        <v>42</v>
      </c>
      <c r="R40">
        <v>0.92600000000000005</v>
      </c>
      <c r="S40" t="s">
        <v>42</v>
      </c>
      <c r="T40">
        <v>0</v>
      </c>
      <c r="U40" t="s">
        <v>42</v>
      </c>
      <c r="V40">
        <v>0.99999499999999997</v>
      </c>
      <c r="W40" t="s">
        <v>42</v>
      </c>
      <c r="X40">
        <v>3.82</v>
      </c>
      <c r="Y40" t="s">
        <v>52</v>
      </c>
      <c r="Z40">
        <v>-1.3</v>
      </c>
      <c r="AA40">
        <v>5.29</v>
      </c>
      <c r="AB40">
        <v>2.4889999999999999</v>
      </c>
      <c r="AC40">
        <v>16.4619</v>
      </c>
      <c r="AD40">
        <v>31</v>
      </c>
      <c r="AE40" s="5" t="s">
        <v>521</v>
      </c>
      <c r="AF40">
        <v>1</v>
      </c>
      <c r="AG40" t="s">
        <v>44</v>
      </c>
      <c r="AH40" t="str">
        <f t="shared" si="0"/>
        <v>chr7_128038580_G_A</v>
      </c>
      <c r="AI40" s="2" t="str">
        <f>IF(ISNUMBER(MATCH(AH40,MM47_FINAL!$AH:$AH,0)),"YES","NO")</f>
        <v>NO</v>
      </c>
    </row>
    <row r="41" spans="1:35" x14ac:dyDescent="0.2">
      <c r="A41" t="s">
        <v>151</v>
      </c>
      <c r="B41">
        <v>140043214</v>
      </c>
      <c r="C41">
        <v>140043214</v>
      </c>
      <c r="D41" t="s">
        <v>45</v>
      </c>
      <c r="E41" t="s">
        <v>35</v>
      </c>
      <c r="F41" t="s">
        <v>36</v>
      </c>
      <c r="G41" t="s">
        <v>157</v>
      </c>
      <c r="H41" t="s">
        <v>47</v>
      </c>
      <c r="I41" t="s">
        <v>158</v>
      </c>
      <c r="J41" t="s">
        <v>159</v>
      </c>
      <c r="O41">
        <v>0.12</v>
      </c>
      <c r="P41">
        <v>1</v>
      </c>
      <c r="Q41" t="s">
        <v>42</v>
      </c>
      <c r="R41">
        <v>0.99299999999999999</v>
      </c>
      <c r="S41" t="s">
        <v>42</v>
      </c>
      <c r="T41">
        <v>0</v>
      </c>
      <c r="U41" t="s">
        <v>42</v>
      </c>
      <c r="V41">
        <v>0.99541100000000005</v>
      </c>
      <c r="W41" t="s">
        <v>42</v>
      </c>
      <c r="X41">
        <v>2.69</v>
      </c>
      <c r="Y41" t="s">
        <v>50</v>
      </c>
      <c r="Z41">
        <v>-0.31</v>
      </c>
      <c r="AA41">
        <v>5.51</v>
      </c>
      <c r="AB41">
        <v>2.593</v>
      </c>
      <c r="AC41">
        <v>19.451000000000001</v>
      </c>
      <c r="AD41">
        <v>33</v>
      </c>
      <c r="AE41" t="s">
        <v>512</v>
      </c>
      <c r="AF41">
        <v>8</v>
      </c>
      <c r="AG41" t="s">
        <v>517</v>
      </c>
      <c r="AH41" t="str">
        <f t="shared" si="0"/>
        <v>chr7_140043214_G_T</v>
      </c>
      <c r="AI41" s="2" t="str">
        <f>IF(ISNUMBER(MATCH(AH41,MM47_FINAL!$AH:$AH,0)),"YES","NO")</f>
        <v>NO</v>
      </c>
    </row>
    <row r="42" spans="1:35" x14ac:dyDescent="0.2">
      <c r="A42" t="s">
        <v>151</v>
      </c>
      <c r="B42">
        <v>140043225</v>
      </c>
      <c r="C42">
        <v>140043225</v>
      </c>
      <c r="D42" t="s">
        <v>45</v>
      </c>
      <c r="E42" t="s">
        <v>35</v>
      </c>
      <c r="F42" t="s">
        <v>36</v>
      </c>
      <c r="G42" t="s">
        <v>157</v>
      </c>
      <c r="H42" t="s">
        <v>47</v>
      </c>
      <c r="I42" t="s">
        <v>160</v>
      </c>
      <c r="J42" t="s">
        <v>161</v>
      </c>
      <c r="O42">
        <v>0</v>
      </c>
      <c r="P42">
        <v>0.999</v>
      </c>
      <c r="Q42" t="s">
        <v>42</v>
      </c>
      <c r="R42">
        <v>0.99399999999999999</v>
      </c>
      <c r="S42" t="s">
        <v>42</v>
      </c>
      <c r="T42">
        <v>1.9999999999999999E-6</v>
      </c>
      <c r="U42" t="s">
        <v>42</v>
      </c>
      <c r="V42" t="s">
        <v>41</v>
      </c>
      <c r="W42" t="s">
        <v>41</v>
      </c>
      <c r="X42">
        <v>3.28</v>
      </c>
      <c r="Y42" t="s">
        <v>50</v>
      </c>
      <c r="Z42">
        <v>-0.51</v>
      </c>
      <c r="AA42">
        <v>5.51</v>
      </c>
      <c r="AB42">
        <v>2.593</v>
      </c>
      <c r="AC42">
        <v>19.451000000000001</v>
      </c>
      <c r="AD42">
        <v>33</v>
      </c>
      <c r="AE42" t="s">
        <v>512</v>
      </c>
      <c r="AF42">
        <v>13</v>
      </c>
      <c r="AG42" t="s">
        <v>517</v>
      </c>
      <c r="AH42" t="str">
        <f t="shared" si="0"/>
        <v>chr7_140043225_G_T</v>
      </c>
      <c r="AI42" s="2" t="str">
        <f>IF(ISNUMBER(MATCH(AH42,MM47_FINAL!$AH:$AH,0)),"YES","NO")</f>
        <v>NO</v>
      </c>
    </row>
    <row r="43" spans="1:35" s="3" customFormat="1" x14ac:dyDescent="0.2">
      <c r="A43" s="3" t="s">
        <v>162</v>
      </c>
      <c r="B43" s="3">
        <v>87588114</v>
      </c>
      <c r="C43" s="3">
        <v>87588114</v>
      </c>
      <c r="D43" s="3" t="s">
        <v>45</v>
      </c>
      <c r="E43" s="3" t="s">
        <v>35</v>
      </c>
      <c r="F43" s="3" t="s">
        <v>36</v>
      </c>
      <c r="G43" s="3" t="s">
        <v>163</v>
      </c>
      <c r="H43" s="3" t="s">
        <v>38</v>
      </c>
      <c r="I43" s="3" t="s">
        <v>164</v>
      </c>
      <c r="J43" s="3" t="s">
        <v>165</v>
      </c>
      <c r="O43" s="3">
        <v>1</v>
      </c>
      <c r="P43" s="3" t="s">
        <v>41</v>
      </c>
      <c r="Q43" s="3" t="s">
        <v>41</v>
      </c>
      <c r="R43" s="3" t="s">
        <v>41</v>
      </c>
      <c r="S43" s="3" t="s">
        <v>41</v>
      </c>
      <c r="T43" s="3">
        <v>6.6000000000000005E-5</v>
      </c>
      <c r="U43" s="3" t="s">
        <v>42</v>
      </c>
      <c r="V43" s="3">
        <v>0.99976799999999999</v>
      </c>
      <c r="W43" s="3" t="s">
        <v>42</v>
      </c>
      <c r="X43" s="3" t="s">
        <v>41</v>
      </c>
      <c r="Y43" s="3" t="s">
        <v>41</v>
      </c>
      <c r="Z43" s="3" t="s">
        <v>41</v>
      </c>
      <c r="AA43" s="3">
        <v>5.03</v>
      </c>
      <c r="AB43" s="3">
        <v>1.4830000000000001</v>
      </c>
      <c r="AC43" s="3">
        <v>12.763500000000001</v>
      </c>
      <c r="AD43" s="3">
        <v>37</v>
      </c>
      <c r="AE43" s="3" t="s">
        <v>512</v>
      </c>
      <c r="AF43" s="3">
        <v>26</v>
      </c>
      <c r="AG43" s="3" t="s">
        <v>517</v>
      </c>
      <c r="AH43" s="3" t="str">
        <f t="shared" si="0"/>
        <v>chr8_87588114_G_T</v>
      </c>
      <c r="AI43" s="4" t="str">
        <f>IF(ISNUMBER(MATCH(AH43,MM47_FINAL!$AH:$AH,0)),"YES","NO")</f>
        <v>YES</v>
      </c>
    </row>
    <row r="44" spans="1:35" x14ac:dyDescent="0.2">
      <c r="A44" t="s">
        <v>162</v>
      </c>
      <c r="B44">
        <v>105263954</v>
      </c>
      <c r="C44">
        <v>105263954</v>
      </c>
      <c r="D44" t="s">
        <v>34</v>
      </c>
      <c r="E44" t="s">
        <v>35</v>
      </c>
      <c r="F44" t="s">
        <v>36</v>
      </c>
      <c r="G44" t="s">
        <v>166</v>
      </c>
      <c r="H44" t="s">
        <v>47</v>
      </c>
      <c r="I44" t="s">
        <v>167</v>
      </c>
      <c r="J44" t="s">
        <v>168</v>
      </c>
      <c r="O44">
        <v>0</v>
      </c>
      <c r="P44">
        <v>1</v>
      </c>
      <c r="Q44" t="s">
        <v>42</v>
      </c>
      <c r="R44">
        <v>0.997</v>
      </c>
      <c r="S44" t="s">
        <v>42</v>
      </c>
      <c r="T44" t="s">
        <v>41</v>
      </c>
      <c r="U44" t="s">
        <v>41</v>
      </c>
      <c r="V44" t="s">
        <v>41</v>
      </c>
      <c r="W44" t="s">
        <v>41</v>
      </c>
      <c r="X44">
        <v>2.34</v>
      </c>
      <c r="Y44" t="s">
        <v>50</v>
      </c>
      <c r="Z44">
        <v>-1.1599999999999999</v>
      </c>
      <c r="AA44">
        <v>5.64</v>
      </c>
      <c r="AB44">
        <v>2.66</v>
      </c>
      <c r="AC44">
        <v>19.693899999999999</v>
      </c>
      <c r="AD44">
        <v>32</v>
      </c>
      <c r="AE44" t="s">
        <v>512</v>
      </c>
      <c r="AF44">
        <v>32</v>
      </c>
      <c r="AG44" t="s">
        <v>517</v>
      </c>
      <c r="AH44" t="str">
        <f t="shared" si="0"/>
        <v>chr8_105263954_C_T</v>
      </c>
      <c r="AI44" s="2" t="str">
        <f>IF(ISNUMBER(MATCH(AH44,MM47_FINAL!$AH:$AH,0)),"YES","NO")</f>
        <v>NO</v>
      </c>
    </row>
    <row r="45" spans="1:35" s="3" customFormat="1" x14ac:dyDescent="0.2">
      <c r="A45" s="3" t="s">
        <v>169</v>
      </c>
      <c r="B45" s="3">
        <v>116045679</v>
      </c>
      <c r="C45" s="3">
        <v>116045679</v>
      </c>
      <c r="D45" s="3" t="s">
        <v>34</v>
      </c>
      <c r="E45" s="3" t="s">
        <v>43</v>
      </c>
      <c r="F45" s="3" t="s">
        <v>36</v>
      </c>
      <c r="G45" s="3" t="s">
        <v>170</v>
      </c>
      <c r="H45" s="3" t="s">
        <v>47</v>
      </c>
      <c r="I45" s="3" t="s">
        <v>171</v>
      </c>
      <c r="J45" s="3" t="s">
        <v>172</v>
      </c>
      <c r="O45" s="3">
        <v>0</v>
      </c>
      <c r="P45" s="3">
        <v>1</v>
      </c>
      <c r="Q45" s="3" t="s">
        <v>42</v>
      </c>
      <c r="R45" s="3">
        <v>0.99399999999999999</v>
      </c>
      <c r="S45" s="3" t="s">
        <v>42</v>
      </c>
      <c r="T45" s="3">
        <v>4.3999999999999999E-5</v>
      </c>
      <c r="U45" s="3" t="s">
        <v>42</v>
      </c>
      <c r="V45" s="3">
        <v>0.99999899999999997</v>
      </c>
      <c r="W45" s="3" t="s">
        <v>42</v>
      </c>
      <c r="X45" s="3">
        <v>2.9950000000000001</v>
      </c>
      <c r="Y45" s="3" t="s">
        <v>50</v>
      </c>
      <c r="Z45" s="3">
        <v>-1.29</v>
      </c>
      <c r="AA45" s="3">
        <v>5.35</v>
      </c>
      <c r="AB45" s="3">
        <v>2.5030000000000001</v>
      </c>
      <c r="AC45" s="3">
        <v>18.090599999999998</v>
      </c>
      <c r="AD45" s="3">
        <v>31</v>
      </c>
      <c r="AE45" s="3" t="s">
        <v>512</v>
      </c>
      <c r="AF45" s="3">
        <v>21</v>
      </c>
      <c r="AG45" s="3" t="s">
        <v>517</v>
      </c>
      <c r="AH45" s="3" t="str">
        <f t="shared" si="0"/>
        <v>chr9_116045679_C_A</v>
      </c>
      <c r="AI45" s="4" t="str">
        <f>IF(ISNUMBER(MATCH(AH45,MM47_FINAL!$AH:$AH,0)),"YES","NO")</f>
        <v>YES</v>
      </c>
    </row>
    <row r="46" spans="1:35" s="3" customFormat="1" x14ac:dyDescent="0.2">
      <c r="A46" s="3" t="s">
        <v>169</v>
      </c>
      <c r="B46" s="3">
        <v>116045680</v>
      </c>
      <c r="C46" s="3">
        <v>116045680</v>
      </c>
      <c r="D46" s="3" t="s">
        <v>45</v>
      </c>
      <c r="E46" s="3" t="s">
        <v>43</v>
      </c>
      <c r="F46" s="3" t="s">
        <v>36</v>
      </c>
      <c r="G46" s="3" t="s">
        <v>170</v>
      </c>
      <c r="H46" s="3" t="s">
        <v>47</v>
      </c>
      <c r="I46" s="3" t="s">
        <v>173</v>
      </c>
      <c r="J46" s="3" t="s">
        <v>172</v>
      </c>
      <c r="N46" s="3" t="s">
        <v>174</v>
      </c>
      <c r="O46" s="3">
        <v>0</v>
      </c>
      <c r="P46" s="3">
        <v>1</v>
      </c>
      <c r="Q46" s="3" t="s">
        <v>42</v>
      </c>
      <c r="R46" s="3">
        <v>0.998</v>
      </c>
      <c r="S46" s="3" t="s">
        <v>42</v>
      </c>
      <c r="T46" s="3">
        <v>4.3999999999999999E-5</v>
      </c>
      <c r="U46" s="3" t="s">
        <v>42</v>
      </c>
      <c r="V46" s="3">
        <v>0.99999899999999997</v>
      </c>
      <c r="W46" s="3" t="s">
        <v>42</v>
      </c>
      <c r="X46" s="3">
        <v>2.9950000000000001</v>
      </c>
      <c r="Y46" s="3" t="s">
        <v>50</v>
      </c>
      <c r="Z46" s="3">
        <v>-1.31</v>
      </c>
      <c r="AA46" s="3">
        <v>5.35</v>
      </c>
      <c r="AB46" s="3">
        <v>2.5030000000000001</v>
      </c>
      <c r="AC46" s="3">
        <v>18.090599999999998</v>
      </c>
      <c r="AD46" s="3">
        <v>33</v>
      </c>
      <c r="AE46" s="3" t="s">
        <v>512</v>
      </c>
      <c r="AF46" s="3">
        <v>19</v>
      </c>
      <c r="AG46" s="3" t="s">
        <v>517</v>
      </c>
      <c r="AH46" s="3" t="str">
        <f t="shared" si="0"/>
        <v>chr9_116045680_G_A</v>
      </c>
      <c r="AI46" s="4" t="str">
        <f>IF(ISNUMBER(MATCH(AH46,MM47_FINAL!$AH:$AH,0)),"YES","NO")</f>
        <v>YES</v>
      </c>
    </row>
    <row r="47" spans="1:35" x14ac:dyDescent="0.2">
      <c r="A47" t="s">
        <v>169</v>
      </c>
      <c r="B47">
        <v>116045688</v>
      </c>
      <c r="C47">
        <v>116045688</v>
      </c>
      <c r="D47" t="s">
        <v>45</v>
      </c>
      <c r="E47" t="s">
        <v>35</v>
      </c>
      <c r="F47" t="s">
        <v>36</v>
      </c>
      <c r="G47" t="s">
        <v>170</v>
      </c>
      <c r="H47" t="s">
        <v>38</v>
      </c>
      <c r="I47" t="s">
        <v>175</v>
      </c>
      <c r="J47" t="s">
        <v>172</v>
      </c>
      <c r="O47">
        <v>0.7</v>
      </c>
      <c r="P47" t="s">
        <v>41</v>
      </c>
      <c r="Q47" t="s">
        <v>41</v>
      </c>
      <c r="R47" t="s">
        <v>41</v>
      </c>
      <c r="S47" t="s">
        <v>41</v>
      </c>
      <c r="T47">
        <v>2.3E-5</v>
      </c>
      <c r="U47" t="s">
        <v>42</v>
      </c>
      <c r="V47">
        <v>1</v>
      </c>
      <c r="W47" t="s">
        <v>43</v>
      </c>
      <c r="X47" t="s">
        <v>41</v>
      </c>
      <c r="Y47" t="s">
        <v>41</v>
      </c>
      <c r="Z47" t="s">
        <v>41</v>
      </c>
      <c r="AA47">
        <v>5.35</v>
      </c>
      <c r="AB47">
        <v>2.5030000000000001</v>
      </c>
      <c r="AC47">
        <v>18.090599999999998</v>
      </c>
      <c r="AD47">
        <v>43</v>
      </c>
      <c r="AE47" t="s">
        <v>512</v>
      </c>
      <c r="AF47">
        <v>17</v>
      </c>
      <c r="AG47" t="s">
        <v>517</v>
      </c>
      <c r="AH47" t="str">
        <f t="shared" si="0"/>
        <v>chr9_116045688_G_T</v>
      </c>
      <c r="AI47" s="2" t="str">
        <f>IF(ISNUMBER(MATCH(AH47,MM47_FINAL!$AH:$AH,0)),"YES","NO")</f>
        <v>NO</v>
      </c>
    </row>
    <row r="48" spans="1:35" x14ac:dyDescent="0.2">
      <c r="A48" t="s">
        <v>176</v>
      </c>
      <c r="B48">
        <v>18254487</v>
      </c>
      <c r="C48">
        <v>18254487</v>
      </c>
      <c r="D48" t="s">
        <v>34</v>
      </c>
      <c r="E48" t="s">
        <v>35</v>
      </c>
      <c r="F48" t="s">
        <v>36</v>
      </c>
      <c r="G48" t="s">
        <v>177</v>
      </c>
      <c r="H48" t="s">
        <v>38</v>
      </c>
      <c r="I48" t="s">
        <v>178</v>
      </c>
      <c r="O48">
        <v>0.36</v>
      </c>
      <c r="P48" t="s">
        <v>41</v>
      </c>
      <c r="Q48" t="s">
        <v>41</v>
      </c>
      <c r="R48" t="s">
        <v>41</v>
      </c>
      <c r="S48" t="s">
        <v>41</v>
      </c>
      <c r="T48">
        <v>0.32420700000000002</v>
      </c>
      <c r="U48" t="s">
        <v>73</v>
      </c>
      <c r="V48">
        <v>1</v>
      </c>
      <c r="W48" t="s">
        <v>43</v>
      </c>
      <c r="X48" t="s">
        <v>41</v>
      </c>
      <c r="Y48" t="s">
        <v>41</v>
      </c>
      <c r="Z48" t="s">
        <v>41</v>
      </c>
      <c r="AA48">
        <v>3.06</v>
      </c>
      <c r="AB48">
        <v>0.87</v>
      </c>
      <c r="AC48">
        <v>9.1372</v>
      </c>
      <c r="AD48">
        <v>35</v>
      </c>
      <c r="AE48" t="s">
        <v>512</v>
      </c>
      <c r="AF48">
        <v>13</v>
      </c>
      <c r="AG48" t="s">
        <v>517</v>
      </c>
      <c r="AH48" t="str">
        <f t="shared" si="0"/>
        <v>chr10_18254487_C_T</v>
      </c>
      <c r="AI48" s="2" t="str">
        <f>IF(ISNUMBER(MATCH(AH48,MM47_FINAL!$AH:$AH,0)),"YES","NO")</f>
        <v>NO</v>
      </c>
    </row>
    <row r="49" spans="1:35" x14ac:dyDescent="0.2">
      <c r="A49" t="s">
        <v>176</v>
      </c>
      <c r="B49">
        <v>70998837</v>
      </c>
      <c r="C49">
        <v>70998837</v>
      </c>
      <c r="D49" t="s">
        <v>45</v>
      </c>
      <c r="E49" t="s">
        <v>35</v>
      </c>
      <c r="F49" t="s">
        <v>36</v>
      </c>
      <c r="G49" t="s">
        <v>179</v>
      </c>
      <c r="H49" t="s">
        <v>38</v>
      </c>
      <c r="I49" t="s">
        <v>180</v>
      </c>
      <c r="J49" t="s">
        <v>181</v>
      </c>
      <c r="O49">
        <v>0</v>
      </c>
      <c r="P49" t="s">
        <v>41</v>
      </c>
      <c r="Q49" t="s">
        <v>41</v>
      </c>
      <c r="R49" t="s">
        <v>41</v>
      </c>
      <c r="S49" t="s">
        <v>41</v>
      </c>
      <c r="T49">
        <v>0</v>
      </c>
      <c r="U49" t="s">
        <v>42</v>
      </c>
      <c r="V49">
        <v>1</v>
      </c>
      <c r="W49" t="s">
        <v>43</v>
      </c>
      <c r="X49" t="s">
        <v>41</v>
      </c>
      <c r="Y49" t="s">
        <v>41</v>
      </c>
      <c r="Z49" t="s">
        <v>41</v>
      </c>
      <c r="AA49">
        <v>4.92</v>
      </c>
      <c r="AB49">
        <v>2.7080000000000002</v>
      </c>
      <c r="AC49">
        <v>18.6753</v>
      </c>
      <c r="AD49">
        <v>39</v>
      </c>
      <c r="AE49" t="s">
        <v>512</v>
      </c>
      <c r="AF49">
        <v>21</v>
      </c>
      <c r="AG49" t="s">
        <v>517</v>
      </c>
      <c r="AH49" t="str">
        <f t="shared" si="0"/>
        <v>chr10_70998837_G_T</v>
      </c>
      <c r="AI49" s="2" t="str">
        <f>IF(ISNUMBER(MATCH(AH49,MM47_FINAL!$AH:$AH,0)),"YES","NO")</f>
        <v>NO</v>
      </c>
    </row>
    <row r="50" spans="1:35" x14ac:dyDescent="0.2">
      <c r="A50" t="s">
        <v>176</v>
      </c>
      <c r="B50">
        <v>71139734</v>
      </c>
      <c r="C50">
        <v>71139734</v>
      </c>
      <c r="D50" t="s">
        <v>34</v>
      </c>
      <c r="E50" t="s">
        <v>43</v>
      </c>
      <c r="F50" t="s">
        <v>36</v>
      </c>
      <c r="G50" t="s">
        <v>182</v>
      </c>
      <c r="H50" t="s">
        <v>47</v>
      </c>
      <c r="I50" t="s">
        <v>183</v>
      </c>
      <c r="J50" t="s">
        <v>184</v>
      </c>
      <c r="O50">
        <v>0</v>
      </c>
      <c r="P50">
        <v>1</v>
      </c>
      <c r="Q50" t="s">
        <v>42</v>
      </c>
      <c r="R50">
        <v>0.998</v>
      </c>
      <c r="S50" t="s">
        <v>42</v>
      </c>
      <c r="T50">
        <v>0</v>
      </c>
      <c r="U50" t="s">
        <v>42</v>
      </c>
      <c r="V50">
        <v>0.99998500000000001</v>
      </c>
      <c r="W50" t="s">
        <v>42</v>
      </c>
      <c r="X50">
        <v>3.9550000000000001</v>
      </c>
      <c r="Y50" t="s">
        <v>52</v>
      </c>
      <c r="Z50">
        <v>-0.46</v>
      </c>
      <c r="AA50">
        <v>5.52</v>
      </c>
      <c r="AB50">
        <v>2.5939999999999999</v>
      </c>
      <c r="AC50">
        <v>18.415299999999998</v>
      </c>
      <c r="AD50">
        <v>31</v>
      </c>
      <c r="AE50" t="s">
        <v>512</v>
      </c>
      <c r="AF50">
        <v>11</v>
      </c>
      <c r="AG50" t="s">
        <v>517</v>
      </c>
      <c r="AH50" t="str">
        <f t="shared" si="0"/>
        <v>chr10_71139734_C_A</v>
      </c>
      <c r="AI50" s="2" t="str">
        <f>IF(ISNUMBER(MATCH(AH50,MM47_FINAL!$AH:$AH,0)),"YES","NO")</f>
        <v>NO</v>
      </c>
    </row>
    <row r="51" spans="1:35" x14ac:dyDescent="0.2">
      <c r="A51" t="s">
        <v>176</v>
      </c>
      <c r="B51">
        <v>126091546</v>
      </c>
      <c r="C51">
        <v>126091546</v>
      </c>
      <c r="D51" t="s">
        <v>35</v>
      </c>
      <c r="E51" t="s">
        <v>43</v>
      </c>
      <c r="F51" t="s">
        <v>36</v>
      </c>
      <c r="G51" t="s">
        <v>185</v>
      </c>
      <c r="H51" t="s">
        <v>38</v>
      </c>
      <c r="I51" t="s">
        <v>186</v>
      </c>
      <c r="J51" t="s">
        <v>187</v>
      </c>
      <c r="O51">
        <v>1</v>
      </c>
      <c r="P51" t="s">
        <v>41</v>
      </c>
      <c r="Q51" t="s">
        <v>41</v>
      </c>
      <c r="R51" t="s">
        <v>41</v>
      </c>
      <c r="S51" t="s">
        <v>41</v>
      </c>
      <c r="T51">
        <v>0</v>
      </c>
      <c r="U51" t="s">
        <v>42</v>
      </c>
      <c r="V51">
        <v>1</v>
      </c>
      <c r="W51" t="s">
        <v>43</v>
      </c>
      <c r="X51" t="s">
        <v>41</v>
      </c>
      <c r="Y51" t="s">
        <v>41</v>
      </c>
      <c r="Z51" t="s">
        <v>41</v>
      </c>
      <c r="AA51">
        <v>-0.89300000000000002</v>
      </c>
      <c r="AB51">
        <v>0.05</v>
      </c>
      <c r="AC51">
        <v>15.192399999999999</v>
      </c>
      <c r="AD51">
        <v>36</v>
      </c>
      <c r="AE51" t="s">
        <v>512</v>
      </c>
      <c r="AF51">
        <v>13</v>
      </c>
      <c r="AG51" t="s">
        <v>517</v>
      </c>
      <c r="AH51" t="str">
        <f t="shared" si="0"/>
        <v>chr10_126091546_T_A</v>
      </c>
      <c r="AI51" s="2" t="str">
        <f>IF(ISNUMBER(MATCH(AH51,MM47_FINAL!$AH:$AH,0)),"YES","NO")</f>
        <v>NO</v>
      </c>
    </row>
    <row r="52" spans="1:35" x14ac:dyDescent="0.2">
      <c r="A52" t="s">
        <v>188</v>
      </c>
      <c r="B52">
        <v>76829213</v>
      </c>
      <c r="C52">
        <v>76829213</v>
      </c>
      <c r="D52" t="s">
        <v>45</v>
      </c>
      <c r="E52" t="s">
        <v>35</v>
      </c>
      <c r="F52" t="s">
        <v>36</v>
      </c>
      <c r="G52" t="s">
        <v>189</v>
      </c>
      <c r="H52" t="s">
        <v>38</v>
      </c>
      <c r="I52" t="s">
        <v>190</v>
      </c>
      <c r="J52" t="s">
        <v>64</v>
      </c>
      <c r="O52">
        <v>0.06</v>
      </c>
      <c r="P52" t="s">
        <v>41</v>
      </c>
      <c r="Q52" t="s">
        <v>41</v>
      </c>
      <c r="R52" t="s">
        <v>41</v>
      </c>
      <c r="S52" t="s">
        <v>41</v>
      </c>
      <c r="T52">
        <v>8.6000000000000003E-5</v>
      </c>
      <c r="U52" t="s">
        <v>42</v>
      </c>
      <c r="V52">
        <v>1</v>
      </c>
      <c r="W52" t="s">
        <v>43</v>
      </c>
      <c r="X52" t="s">
        <v>41</v>
      </c>
      <c r="Y52" t="s">
        <v>41</v>
      </c>
      <c r="Z52" t="s">
        <v>41</v>
      </c>
      <c r="AA52">
        <v>2.09</v>
      </c>
      <c r="AB52">
        <v>0.55500000000000005</v>
      </c>
      <c r="AC52">
        <v>9.6296999999999997</v>
      </c>
      <c r="AD52">
        <v>48</v>
      </c>
      <c r="AE52" t="s">
        <v>512</v>
      </c>
      <c r="AF52">
        <v>18</v>
      </c>
      <c r="AG52" t="s">
        <v>517</v>
      </c>
      <c r="AH52" t="str">
        <f t="shared" si="0"/>
        <v>chr11_76829213_G_T</v>
      </c>
      <c r="AI52" s="2" t="str">
        <f>IF(ISNUMBER(MATCH(AH52,MM47_FINAL!$AH:$AH,0)),"YES","NO")</f>
        <v>NO</v>
      </c>
    </row>
    <row r="53" spans="1:35" x14ac:dyDescent="0.2">
      <c r="A53" t="s">
        <v>188</v>
      </c>
      <c r="B53">
        <v>103126231</v>
      </c>
      <c r="C53">
        <v>103126231</v>
      </c>
      <c r="D53" t="s">
        <v>34</v>
      </c>
      <c r="E53" t="s">
        <v>35</v>
      </c>
      <c r="F53" t="s">
        <v>36</v>
      </c>
      <c r="G53" t="s">
        <v>191</v>
      </c>
      <c r="H53" t="s">
        <v>38</v>
      </c>
      <c r="I53" t="s">
        <v>192</v>
      </c>
      <c r="J53" t="s">
        <v>193</v>
      </c>
      <c r="O53">
        <v>0.51</v>
      </c>
      <c r="P53" t="s">
        <v>41</v>
      </c>
      <c r="Q53" t="s">
        <v>41</v>
      </c>
      <c r="R53" t="s">
        <v>41</v>
      </c>
      <c r="S53" t="s">
        <v>41</v>
      </c>
      <c r="T53">
        <v>0</v>
      </c>
      <c r="U53" t="s">
        <v>42</v>
      </c>
      <c r="V53">
        <v>1</v>
      </c>
      <c r="W53" t="s">
        <v>43</v>
      </c>
      <c r="X53" t="s">
        <v>41</v>
      </c>
      <c r="Y53" t="s">
        <v>41</v>
      </c>
      <c r="Z53" t="s">
        <v>41</v>
      </c>
      <c r="AA53">
        <v>5.55</v>
      </c>
      <c r="AB53">
        <v>2.7730000000000001</v>
      </c>
      <c r="AC53">
        <v>19.866700000000002</v>
      </c>
      <c r="AD53">
        <v>51</v>
      </c>
      <c r="AE53" t="s">
        <v>512</v>
      </c>
      <c r="AF53">
        <v>28</v>
      </c>
      <c r="AG53" t="s">
        <v>517</v>
      </c>
      <c r="AH53" t="str">
        <f t="shared" si="0"/>
        <v>chr11_103126231_C_T</v>
      </c>
      <c r="AI53" s="2" t="str">
        <f>IF(ISNUMBER(MATCH(AH53,MM47_FINAL!$AH:$AH,0)),"YES","NO")</f>
        <v>NO</v>
      </c>
    </row>
    <row r="54" spans="1:35" x14ac:dyDescent="0.2">
      <c r="A54" t="s">
        <v>194</v>
      </c>
      <c r="B54">
        <v>88496704</v>
      </c>
      <c r="C54">
        <v>88496704</v>
      </c>
      <c r="D54" t="s">
        <v>45</v>
      </c>
      <c r="E54" t="s">
        <v>43</v>
      </c>
      <c r="F54" t="s">
        <v>36</v>
      </c>
      <c r="G54" t="s">
        <v>195</v>
      </c>
      <c r="H54" t="s">
        <v>38</v>
      </c>
      <c r="I54" t="s">
        <v>196</v>
      </c>
      <c r="J54" t="s">
        <v>197</v>
      </c>
      <c r="O54">
        <v>0.83</v>
      </c>
      <c r="P54" t="s">
        <v>41</v>
      </c>
      <c r="Q54" t="s">
        <v>41</v>
      </c>
      <c r="R54" t="s">
        <v>41</v>
      </c>
      <c r="S54" t="s">
        <v>41</v>
      </c>
      <c r="T54">
        <v>0</v>
      </c>
      <c r="U54" t="s">
        <v>42</v>
      </c>
      <c r="V54">
        <v>1</v>
      </c>
      <c r="W54" t="s">
        <v>43</v>
      </c>
      <c r="X54" t="s">
        <v>41</v>
      </c>
      <c r="Y54" t="s">
        <v>41</v>
      </c>
      <c r="Z54" t="s">
        <v>41</v>
      </c>
      <c r="AA54">
        <v>4.8099999999999996</v>
      </c>
      <c r="AB54">
        <v>2.2130000000000001</v>
      </c>
      <c r="AC54">
        <v>17.897600000000001</v>
      </c>
      <c r="AD54">
        <v>38</v>
      </c>
      <c r="AE54" t="s">
        <v>512</v>
      </c>
      <c r="AF54">
        <v>16</v>
      </c>
      <c r="AG54" t="s">
        <v>517</v>
      </c>
      <c r="AH54" t="str">
        <f t="shared" si="0"/>
        <v>chr12_88496704_G_A</v>
      </c>
      <c r="AI54" s="2" t="str">
        <f>IF(ISNUMBER(MATCH(AH54,MM47_FINAL!$AH:$AH,0)),"YES","NO")</f>
        <v>NO</v>
      </c>
    </row>
    <row r="55" spans="1:35" x14ac:dyDescent="0.2">
      <c r="A55" t="s">
        <v>198</v>
      </c>
      <c r="B55">
        <v>48830412</v>
      </c>
      <c r="C55">
        <v>48830412</v>
      </c>
      <c r="D55" t="s">
        <v>45</v>
      </c>
      <c r="E55" t="s">
        <v>35</v>
      </c>
      <c r="F55" t="s">
        <v>36</v>
      </c>
      <c r="G55" t="s">
        <v>199</v>
      </c>
      <c r="H55" t="s">
        <v>38</v>
      </c>
      <c r="I55" t="s">
        <v>200</v>
      </c>
      <c r="J55" t="s">
        <v>201</v>
      </c>
      <c r="O55">
        <v>0.15</v>
      </c>
      <c r="P55" t="s">
        <v>41</v>
      </c>
      <c r="Q55" t="s">
        <v>41</v>
      </c>
      <c r="R55" t="s">
        <v>41</v>
      </c>
      <c r="S55" t="s">
        <v>41</v>
      </c>
      <c r="T55">
        <v>0</v>
      </c>
      <c r="U55" t="s">
        <v>42</v>
      </c>
      <c r="V55">
        <v>1</v>
      </c>
      <c r="W55" t="s">
        <v>43</v>
      </c>
      <c r="X55" t="s">
        <v>41</v>
      </c>
      <c r="Y55" t="s">
        <v>41</v>
      </c>
      <c r="Z55" t="s">
        <v>41</v>
      </c>
      <c r="AA55">
        <v>5.76</v>
      </c>
      <c r="AB55">
        <v>2.7210000000000001</v>
      </c>
      <c r="AC55">
        <v>12.2913</v>
      </c>
      <c r="AD55">
        <v>39</v>
      </c>
      <c r="AE55" t="s">
        <v>512</v>
      </c>
      <c r="AF55">
        <v>93</v>
      </c>
      <c r="AG55" t="s">
        <v>517</v>
      </c>
      <c r="AH55" t="str">
        <f t="shared" si="0"/>
        <v>chr13_48830412_G_T</v>
      </c>
      <c r="AI55" s="2" t="str">
        <f>IF(ISNUMBER(MATCH(AH55,MM47_FINAL!$AH:$AH,0)),"YES","NO")</f>
        <v>NO</v>
      </c>
    </row>
    <row r="56" spans="1:35" x14ac:dyDescent="0.2">
      <c r="A56" t="s">
        <v>202</v>
      </c>
      <c r="B56">
        <v>21795966</v>
      </c>
      <c r="C56">
        <v>21795966</v>
      </c>
      <c r="D56" t="s">
        <v>45</v>
      </c>
      <c r="E56" t="s">
        <v>35</v>
      </c>
      <c r="F56" t="s">
        <v>36</v>
      </c>
      <c r="G56" t="s">
        <v>203</v>
      </c>
      <c r="H56" t="s">
        <v>47</v>
      </c>
      <c r="I56" t="s">
        <v>204</v>
      </c>
      <c r="J56" t="s">
        <v>205</v>
      </c>
      <c r="O56">
        <v>0.15</v>
      </c>
      <c r="P56">
        <v>0.998</v>
      </c>
      <c r="Q56" t="s">
        <v>42</v>
      </c>
      <c r="R56">
        <v>0.94699999999999995</v>
      </c>
      <c r="S56" t="s">
        <v>42</v>
      </c>
      <c r="T56">
        <v>0.69254899999999997</v>
      </c>
      <c r="U56" t="s">
        <v>73</v>
      </c>
      <c r="V56" t="s">
        <v>41</v>
      </c>
      <c r="W56" t="s">
        <v>41</v>
      </c>
      <c r="X56">
        <v>1.1000000000000001</v>
      </c>
      <c r="Y56" t="s">
        <v>206</v>
      </c>
      <c r="Z56">
        <v>-1.56</v>
      </c>
      <c r="AA56">
        <v>2.1800000000000002</v>
      </c>
      <c r="AB56">
        <v>1.534</v>
      </c>
      <c r="AC56">
        <v>10.105600000000001</v>
      </c>
      <c r="AD56">
        <v>35</v>
      </c>
      <c r="AE56" t="s">
        <v>512</v>
      </c>
      <c r="AF56">
        <v>12</v>
      </c>
      <c r="AG56" t="s">
        <v>517</v>
      </c>
      <c r="AH56" t="str">
        <f t="shared" si="0"/>
        <v>chr14_21795966_G_T</v>
      </c>
      <c r="AI56" s="2" t="str">
        <f>IF(ISNUMBER(MATCH(AH56,MM47_FINAL!$AH:$AH,0)),"YES","NO")</f>
        <v>NO</v>
      </c>
    </row>
    <row r="57" spans="1:35" x14ac:dyDescent="0.2">
      <c r="A57" t="s">
        <v>202</v>
      </c>
      <c r="B57">
        <v>57268471</v>
      </c>
      <c r="C57">
        <v>57268471</v>
      </c>
      <c r="D57" t="s">
        <v>34</v>
      </c>
      <c r="E57" t="s">
        <v>43</v>
      </c>
      <c r="F57" t="s">
        <v>36</v>
      </c>
      <c r="G57" t="s">
        <v>207</v>
      </c>
      <c r="H57" t="s">
        <v>47</v>
      </c>
      <c r="I57" t="s">
        <v>208</v>
      </c>
      <c r="J57" t="s">
        <v>209</v>
      </c>
      <c r="O57">
        <v>0</v>
      </c>
      <c r="P57">
        <v>1</v>
      </c>
      <c r="Q57" t="s">
        <v>42</v>
      </c>
      <c r="R57">
        <v>0.999</v>
      </c>
      <c r="S57" t="s">
        <v>42</v>
      </c>
      <c r="T57">
        <v>5.22E-4</v>
      </c>
      <c r="U57" t="s">
        <v>42</v>
      </c>
      <c r="V57">
        <v>0.98760300000000001</v>
      </c>
      <c r="W57" t="s">
        <v>42</v>
      </c>
      <c r="X57">
        <v>2.415</v>
      </c>
      <c r="Y57" t="s">
        <v>50</v>
      </c>
      <c r="Z57">
        <v>-4.96</v>
      </c>
      <c r="AA57">
        <v>5.58</v>
      </c>
      <c r="AB57">
        <v>2.907</v>
      </c>
      <c r="AC57">
        <v>18.742599999999999</v>
      </c>
      <c r="AD57">
        <v>34</v>
      </c>
      <c r="AE57" t="s">
        <v>512</v>
      </c>
      <c r="AF57">
        <v>12</v>
      </c>
      <c r="AG57" t="s">
        <v>517</v>
      </c>
      <c r="AH57" t="str">
        <f t="shared" si="0"/>
        <v>chr14_57268471_C_A</v>
      </c>
      <c r="AI57" s="2" t="str">
        <f>IF(ISNUMBER(MATCH(AH57,MM47_FINAL!$AH:$AH,0)),"YES","NO")</f>
        <v>NO</v>
      </c>
    </row>
    <row r="58" spans="1:35" x14ac:dyDescent="0.2">
      <c r="A58" t="s">
        <v>202</v>
      </c>
      <c r="B58">
        <v>76330026</v>
      </c>
      <c r="C58">
        <v>76330026</v>
      </c>
      <c r="D58" t="s">
        <v>45</v>
      </c>
      <c r="E58" t="s">
        <v>35</v>
      </c>
      <c r="F58" t="s">
        <v>36</v>
      </c>
      <c r="G58" t="s">
        <v>210</v>
      </c>
      <c r="H58" t="s">
        <v>38</v>
      </c>
      <c r="I58" t="s">
        <v>211</v>
      </c>
      <c r="J58" t="s">
        <v>212</v>
      </c>
      <c r="O58">
        <v>0.28999999999999998</v>
      </c>
      <c r="P58" t="s">
        <v>41</v>
      </c>
      <c r="Q58" t="s">
        <v>41</v>
      </c>
      <c r="R58" t="s">
        <v>41</v>
      </c>
      <c r="S58" t="s">
        <v>41</v>
      </c>
      <c r="T58">
        <v>0.14188500000000001</v>
      </c>
      <c r="U58" t="s">
        <v>73</v>
      </c>
      <c r="V58">
        <v>1</v>
      </c>
      <c r="W58" t="s">
        <v>43</v>
      </c>
      <c r="X58" t="s">
        <v>41</v>
      </c>
      <c r="Y58" t="s">
        <v>41</v>
      </c>
      <c r="Z58" t="s">
        <v>41</v>
      </c>
      <c r="AA58">
        <v>4.87</v>
      </c>
      <c r="AB58">
        <v>2.8940000000000001</v>
      </c>
      <c r="AC58">
        <v>5.9908999999999999</v>
      </c>
      <c r="AD58">
        <v>37</v>
      </c>
      <c r="AE58" t="s">
        <v>512</v>
      </c>
      <c r="AF58">
        <v>4</v>
      </c>
      <c r="AG58" t="s">
        <v>517</v>
      </c>
      <c r="AH58" t="str">
        <f t="shared" si="0"/>
        <v>chr14_76330026_G_T</v>
      </c>
      <c r="AI58" s="2" t="str">
        <f>IF(ISNUMBER(MATCH(AH58,MM47_FINAL!$AH:$AH,0)),"YES","NO")</f>
        <v>NO</v>
      </c>
    </row>
    <row r="59" spans="1:35" x14ac:dyDescent="0.2">
      <c r="A59" t="s">
        <v>202</v>
      </c>
      <c r="B59">
        <v>76548973</v>
      </c>
      <c r="C59">
        <v>76548973</v>
      </c>
      <c r="D59" t="s">
        <v>34</v>
      </c>
      <c r="E59" t="s">
        <v>35</v>
      </c>
      <c r="F59" t="s">
        <v>36</v>
      </c>
      <c r="G59" t="s">
        <v>213</v>
      </c>
      <c r="H59" t="s">
        <v>47</v>
      </c>
      <c r="I59" t="s">
        <v>214</v>
      </c>
      <c r="J59" t="s">
        <v>215</v>
      </c>
      <c r="O59">
        <v>0</v>
      </c>
      <c r="P59">
        <v>0.999</v>
      </c>
      <c r="Q59" t="s">
        <v>42</v>
      </c>
      <c r="R59">
        <v>0.97</v>
      </c>
      <c r="S59" t="s">
        <v>42</v>
      </c>
      <c r="T59">
        <v>1.9999999999999999E-6</v>
      </c>
      <c r="U59" t="s">
        <v>42</v>
      </c>
      <c r="V59">
        <v>0.995035</v>
      </c>
      <c r="W59" t="s">
        <v>42</v>
      </c>
      <c r="X59">
        <v>2.63</v>
      </c>
      <c r="Y59" t="s">
        <v>50</v>
      </c>
      <c r="Z59">
        <v>0.57999999999999996</v>
      </c>
      <c r="AA59">
        <v>4.99</v>
      </c>
      <c r="AB59">
        <v>2.4729999999999999</v>
      </c>
      <c r="AC59">
        <v>12.4209</v>
      </c>
      <c r="AD59">
        <v>31</v>
      </c>
      <c r="AE59" t="s">
        <v>512</v>
      </c>
      <c r="AF59">
        <v>16</v>
      </c>
      <c r="AG59" t="s">
        <v>517</v>
      </c>
      <c r="AH59" t="str">
        <f t="shared" si="0"/>
        <v>chr14_76548973_C_T</v>
      </c>
      <c r="AI59" s="2" t="str">
        <f>IF(ISNUMBER(MATCH(AH59,MM47_FINAL!$AH:$AH,0)),"YES","NO")</f>
        <v>NO</v>
      </c>
    </row>
    <row r="60" spans="1:35" x14ac:dyDescent="0.2">
      <c r="A60" t="s">
        <v>216</v>
      </c>
      <c r="B60">
        <v>65945080</v>
      </c>
      <c r="C60">
        <v>65945080</v>
      </c>
      <c r="D60" t="s">
        <v>45</v>
      </c>
      <c r="E60" t="s">
        <v>43</v>
      </c>
      <c r="F60" t="s">
        <v>36</v>
      </c>
      <c r="G60" t="s">
        <v>217</v>
      </c>
      <c r="H60" t="s">
        <v>47</v>
      </c>
      <c r="I60" t="s">
        <v>218</v>
      </c>
      <c r="J60" t="s">
        <v>219</v>
      </c>
      <c r="O60">
        <v>0.04</v>
      </c>
      <c r="P60">
        <v>1</v>
      </c>
      <c r="Q60" t="s">
        <v>42</v>
      </c>
      <c r="R60">
        <v>0.999</v>
      </c>
      <c r="S60" t="s">
        <v>42</v>
      </c>
      <c r="T60">
        <v>3.9999999999999998E-6</v>
      </c>
      <c r="U60" t="s">
        <v>42</v>
      </c>
      <c r="V60">
        <v>0.99971399999999999</v>
      </c>
      <c r="W60" t="s">
        <v>42</v>
      </c>
      <c r="X60">
        <v>3.2</v>
      </c>
      <c r="Y60" t="s">
        <v>50</v>
      </c>
      <c r="Z60">
        <v>-0.18</v>
      </c>
      <c r="AA60">
        <v>5.29</v>
      </c>
      <c r="AB60">
        <v>2.4780000000000002</v>
      </c>
      <c r="AC60">
        <v>17.915199999999999</v>
      </c>
      <c r="AD60">
        <v>32</v>
      </c>
      <c r="AE60" t="s">
        <v>512</v>
      </c>
      <c r="AF60">
        <v>18</v>
      </c>
      <c r="AG60" t="s">
        <v>517</v>
      </c>
      <c r="AH60" t="str">
        <f t="shared" si="0"/>
        <v>chr15_65945080_G_A</v>
      </c>
      <c r="AI60" s="2" t="str">
        <f>IF(ISNUMBER(MATCH(AH60,MM47_FINAL!$AH:$AH,0)),"YES","NO")</f>
        <v>NO</v>
      </c>
    </row>
    <row r="61" spans="1:35" x14ac:dyDescent="0.2">
      <c r="A61" t="s">
        <v>216</v>
      </c>
      <c r="B61">
        <v>76957994</v>
      </c>
      <c r="C61">
        <v>76957994</v>
      </c>
      <c r="D61" t="s">
        <v>34</v>
      </c>
      <c r="E61" t="s">
        <v>35</v>
      </c>
      <c r="F61" t="s">
        <v>36</v>
      </c>
      <c r="G61" t="s">
        <v>220</v>
      </c>
      <c r="H61" t="s">
        <v>47</v>
      </c>
      <c r="I61" t="s">
        <v>221</v>
      </c>
      <c r="J61" t="s">
        <v>222</v>
      </c>
      <c r="O61" t="s">
        <v>41</v>
      </c>
      <c r="P61">
        <v>0.81200000000000006</v>
      </c>
      <c r="Q61" t="s">
        <v>117</v>
      </c>
      <c r="R61">
        <v>0.35499999999999998</v>
      </c>
      <c r="S61" t="s">
        <v>223</v>
      </c>
      <c r="T61">
        <v>0</v>
      </c>
      <c r="U61" t="s">
        <v>42</v>
      </c>
      <c r="V61" t="s">
        <v>41</v>
      </c>
      <c r="W61" t="s">
        <v>41</v>
      </c>
      <c r="X61">
        <v>1.665</v>
      </c>
      <c r="Y61" t="s">
        <v>206</v>
      </c>
      <c r="Z61">
        <v>1.82</v>
      </c>
      <c r="AA61">
        <v>5.93</v>
      </c>
      <c r="AB61">
        <v>2.8180000000000001</v>
      </c>
      <c r="AC61">
        <v>20.333400000000001</v>
      </c>
      <c r="AD61">
        <v>57</v>
      </c>
      <c r="AE61" t="s">
        <v>512</v>
      </c>
      <c r="AF61">
        <v>8</v>
      </c>
      <c r="AG61" t="s">
        <v>517</v>
      </c>
      <c r="AH61" t="str">
        <f t="shared" si="0"/>
        <v>chr15_76957994_C_T</v>
      </c>
      <c r="AI61" s="2" t="str">
        <f>IF(ISNUMBER(MATCH(AH61,MM47_FINAL!$AH:$AH,0)),"YES","NO")</f>
        <v>NO</v>
      </c>
    </row>
    <row r="62" spans="1:35" x14ac:dyDescent="0.2">
      <c r="A62" t="s">
        <v>224</v>
      </c>
      <c r="B62">
        <v>3580675</v>
      </c>
      <c r="C62">
        <v>3580675</v>
      </c>
      <c r="D62" t="s">
        <v>45</v>
      </c>
      <c r="E62" t="s">
        <v>43</v>
      </c>
      <c r="F62" t="s">
        <v>36</v>
      </c>
      <c r="G62" t="s">
        <v>225</v>
      </c>
      <c r="H62" t="s">
        <v>47</v>
      </c>
      <c r="I62" t="s">
        <v>226</v>
      </c>
      <c r="J62" t="s">
        <v>227</v>
      </c>
      <c r="O62">
        <v>7.0000000000000007E-2</v>
      </c>
      <c r="P62">
        <v>0.996</v>
      </c>
      <c r="Q62" t="s">
        <v>42</v>
      </c>
      <c r="R62">
        <v>0.86099999999999999</v>
      </c>
      <c r="S62" t="s">
        <v>117</v>
      </c>
      <c r="T62">
        <v>0</v>
      </c>
      <c r="U62" t="s">
        <v>42</v>
      </c>
      <c r="V62" t="s">
        <v>41</v>
      </c>
      <c r="W62" t="s">
        <v>41</v>
      </c>
      <c r="X62">
        <v>2.1349999999999998</v>
      </c>
      <c r="Y62" t="s">
        <v>50</v>
      </c>
      <c r="Z62">
        <v>0.67</v>
      </c>
      <c r="AA62">
        <v>5.57</v>
      </c>
      <c r="AB62">
        <v>2.6389999999999998</v>
      </c>
      <c r="AC62">
        <v>17.049399999999999</v>
      </c>
      <c r="AD62">
        <v>34</v>
      </c>
      <c r="AE62" t="s">
        <v>512</v>
      </c>
      <c r="AF62">
        <v>8</v>
      </c>
      <c r="AG62" t="s">
        <v>517</v>
      </c>
      <c r="AH62" t="str">
        <f t="shared" si="0"/>
        <v>chr16_3580675_G_A</v>
      </c>
      <c r="AI62" s="2" t="str">
        <f>IF(ISNUMBER(MATCH(AH62,MM47_FINAL!$AH:$AH,0)),"YES","NO")</f>
        <v>NO</v>
      </c>
    </row>
    <row r="63" spans="1:35" x14ac:dyDescent="0.2">
      <c r="A63" t="s">
        <v>224</v>
      </c>
      <c r="B63">
        <v>72137581</v>
      </c>
      <c r="C63">
        <v>72137581</v>
      </c>
      <c r="D63" t="s">
        <v>45</v>
      </c>
      <c r="E63" t="s">
        <v>43</v>
      </c>
      <c r="F63" t="s">
        <v>36</v>
      </c>
      <c r="G63" t="s">
        <v>228</v>
      </c>
      <c r="H63" t="s">
        <v>47</v>
      </c>
      <c r="I63" t="s">
        <v>229</v>
      </c>
      <c r="J63" t="s">
        <v>230</v>
      </c>
      <c r="O63">
        <v>0.01</v>
      </c>
      <c r="P63">
        <v>0.997</v>
      </c>
      <c r="Q63" t="s">
        <v>42</v>
      </c>
      <c r="R63">
        <v>0.96199999999999997</v>
      </c>
      <c r="S63" t="s">
        <v>42</v>
      </c>
      <c r="T63">
        <v>0</v>
      </c>
      <c r="U63" t="s">
        <v>42</v>
      </c>
      <c r="V63">
        <v>0.99999199999999999</v>
      </c>
      <c r="W63" t="s">
        <v>42</v>
      </c>
      <c r="X63">
        <v>3.4649999999999999</v>
      </c>
      <c r="Y63" t="s">
        <v>50</v>
      </c>
      <c r="Z63">
        <v>2.61</v>
      </c>
      <c r="AA63">
        <v>4.7</v>
      </c>
      <c r="AB63">
        <v>2.5859999999999999</v>
      </c>
      <c r="AC63">
        <v>18.1907</v>
      </c>
      <c r="AD63">
        <v>31</v>
      </c>
      <c r="AE63" t="s">
        <v>512</v>
      </c>
      <c r="AF63">
        <v>13</v>
      </c>
      <c r="AG63" t="s">
        <v>517</v>
      </c>
      <c r="AH63" t="str">
        <f t="shared" si="0"/>
        <v>chr16_72137581_G_A</v>
      </c>
      <c r="AI63" s="2" t="str">
        <f>IF(ISNUMBER(MATCH(AH63,MM47_FINAL!$AH:$AH,0)),"YES","NO")</f>
        <v>NO</v>
      </c>
    </row>
    <row r="64" spans="1:35" s="3" customFormat="1" x14ac:dyDescent="0.2">
      <c r="A64" s="3" t="s">
        <v>224</v>
      </c>
      <c r="B64" s="3">
        <v>77369782</v>
      </c>
      <c r="C64" s="3">
        <v>77369782</v>
      </c>
      <c r="D64" s="3" t="s">
        <v>34</v>
      </c>
      <c r="E64" s="3" t="s">
        <v>35</v>
      </c>
      <c r="F64" s="3" t="s">
        <v>36</v>
      </c>
      <c r="G64" s="3" t="s">
        <v>231</v>
      </c>
      <c r="H64" s="3" t="s">
        <v>47</v>
      </c>
      <c r="I64" s="3" t="s">
        <v>232</v>
      </c>
      <c r="J64" s="3" t="s">
        <v>233</v>
      </c>
      <c r="O64" s="3">
        <v>0</v>
      </c>
      <c r="P64" s="3">
        <v>1</v>
      </c>
      <c r="Q64" s="3" t="s">
        <v>42</v>
      </c>
      <c r="R64" s="3">
        <v>1</v>
      </c>
      <c r="S64" s="3" t="s">
        <v>42</v>
      </c>
      <c r="T64" s="3">
        <v>0</v>
      </c>
      <c r="U64" s="3" t="s">
        <v>42</v>
      </c>
      <c r="V64" s="3">
        <v>0.99775000000000003</v>
      </c>
      <c r="W64" s="3" t="s">
        <v>42</v>
      </c>
      <c r="X64" s="3">
        <v>3.89</v>
      </c>
      <c r="Y64" s="3" t="s">
        <v>52</v>
      </c>
      <c r="Z64" s="3">
        <v>0.01</v>
      </c>
      <c r="AA64" s="3">
        <v>5.74</v>
      </c>
      <c r="AB64" s="3">
        <v>2.7120000000000002</v>
      </c>
      <c r="AC64" s="3">
        <v>18.9284</v>
      </c>
      <c r="AD64" s="3">
        <v>32</v>
      </c>
      <c r="AE64" s="3" t="s">
        <v>512</v>
      </c>
      <c r="AF64" s="3">
        <v>28</v>
      </c>
      <c r="AG64" s="3" t="s">
        <v>517</v>
      </c>
      <c r="AH64" s="3" t="str">
        <f t="shared" si="0"/>
        <v>chr16_77369782_C_T</v>
      </c>
      <c r="AI64" s="4" t="str">
        <f>IF(ISNUMBER(MATCH(AH64,MM47_FINAL!$AH:$AH,0)),"YES","NO")</f>
        <v>YES</v>
      </c>
    </row>
    <row r="65" spans="1:35" x14ac:dyDescent="0.2">
      <c r="A65" t="s">
        <v>224</v>
      </c>
      <c r="B65">
        <v>77401554</v>
      </c>
      <c r="C65">
        <v>77401554</v>
      </c>
      <c r="D65" t="s">
        <v>34</v>
      </c>
      <c r="E65" t="s">
        <v>43</v>
      </c>
      <c r="F65" t="s">
        <v>36</v>
      </c>
      <c r="G65" t="s">
        <v>231</v>
      </c>
      <c r="H65" t="s">
        <v>38</v>
      </c>
      <c r="I65" t="s">
        <v>234</v>
      </c>
      <c r="J65" t="s">
        <v>235</v>
      </c>
      <c r="O65">
        <v>0.68</v>
      </c>
      <c r="P65" t="s">
        <v>41</v>
      </c>
      <c r="Q65" t="s">
        <v>41</v>
      </c>
      <c r="R65" t="s">
        <v>41</v>
      </c>
      <c r="S65" t="s">
        <v>41</v>
      </c>
      <c r="T65">
        <v>3.901E-3</v>
      </c>
      <c r="U65" t="s">
        <v>73</v>
      </c>
      <c r="V65">
        <v>1</v>
      </c>
      <c r="W65" t="s">
        <v>43</v>
      </c>
      <c r="X65" t="s">
        <v>41</v>
      </c>
      <c r="Y65" t="s">
        <v>41</v>
      </c>
      <c r="Z65" t="s">
        <v>41</v>
      </c>
      <c r="AA65">
        <v>2.75</v>
      </c>
      <c r="AB65">
        <v>0.58099999999999996</v>
      </c>
      <c r="AC65">
        <v>5.8772000000000002</v>
      </c>
      <c r="AD65">
        <v>37</v>
      </c>
      <c r="AE65" t="s">
        <v>512</v>
      </c>
      <c r="AF65">
        <v>16</v>
      </c>
      <c r="AG65" t="s">
        <v>517</v>
      </c>
      <c r="AH65" t="str">
        <f t="shared" si="0"/>
        <v>chr16_77401554_C_A</v>
      </c>
      <c r="AI65" s="2" t="str">
        <f>IF(ISNUMBER(MATCH(AH65,MM47_FINAL!$AH:$AH,0)),"YES","NO")</f>
        <v>NO</v>
      </c>
    </row>
    <row r="66" spans="1:35" x14ac:dyDescent="0.2">
      <c r="A66" t="s">
        <v>236</v>
      </c>
      <c r="B66">
        <v>6329061</v>
      </c>
      <c r="C66">
        <v>6329061</v>
      </c>
      <c r="D66" t="s">
        <v>34</v>
      </c>
      <c r="E66" t="s">
        <v>43</v>
      </c>
      <c r="F66" t="s">
        <v>36</v>
      </c>
      <c r="G66" t="s">
        <v>237</v>
      </c>
      <c r="H66" t="s">
        <v>38</v>
      </c>
      <c r="I66" t="s">
        <v>238</v>
      </c>
      <c r="J66" t="s">
        <v>239</v>
      </c>
      <c r="O66">
        <v>0.38</v>
      </c>
      <c r="P66" t="s">
        <v>41</v>
      </c>
      <c r="Q66" t="s">
        <v>41</v>
      </c>
      <c r="R66" t="s">
        <v>41</v>
      </c>
      <c r="S66" t="s">
        <v>41</v>
      </c>
      <c r="T66">
        <v>8.7900000000000001E-4</v>
      </c>
      <c r="U66" t="s">
        <v>42</v>
      </c>
      <c r="V66">
        <v>1</v>
      </c>
      <c r="W66" t="s">
        <v>42</v>
      </c>
      <c r="X66" t="s">
        <v>41</v>
      </c>
      <c r="Y66" t="s">
        <v>41</v>
      </c>
      <c r="Z66" t="s">
        <v>41</v>
      </c>
      <c r="AA66">
        <v>4.87</v>
      </c>
      <c r="AB66">
        <v>2.2360000000000002</v>
      </c>
      <c r="AC66">
        <v>15.490500000000001</v>
      </c>
      <c r="AD66">
        <v>43</v>
      </c>
      <c r="AE66" t="s">
        <v>512</v>
      </c>
      <c r="AF66">
        <v>15</v>
      </c>
      <c r="AG66" t="s">
        <v>517</v>
      </c>
      <c r="AH66" t="str">
        <f t="shared" si="0"/>
        <v>chr17_6329061_C_A</v>
      </c>
      <c r="AI66" s="2" t="str">
        <f>IF(ISNUMBER(MATCH(AH66,MM47_FINAL!$AH:$AH,0)),"YES","NO")</f>
        <v>NO</v>
      </c>
    </row>
    <row r="67" spans="1:35" x14ac:dyDescent="0.2">
      <c r="A67" t="s">
        <v>236</v>
      </c>
      <c r="B67">
        <v>56290417</v>
      </c>
      <c r="C67">
        <v>56290417</v>
      </c>
      <c r="D67" t="s">
        <v>35</v>
      </c>
      <c r="E67" t="s">
        <v>43</v>
      </c>
      <c r="F67" t="s">
        <v>36</v>
      </c>
      <c r="G67" t="s">
        <v>240</v>
      </c>
      <c r="H67" t="s">
        <v>38</v>
      </c>
      <c r="I67" t="s">
        <v>241</v>
      </c>
      <c r="J67" t="s">
        <v>242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>
        <v>0.96768399999999999</v>
      </c>
      <c r="U67" t="s">
        <v>73</v>
      </c>
      <c r="V67">
        <v>1</v>
      </c>
      <c r="W67" t="s">
        <v>43</v>
      </c>
      <c r="X67" t="s">
        <v>41</v>
      </c>
      <c r="Y67" t="s">
        <v>41</v>
      </c>
      <c r="Z67" t="s">
        <v>41</v>
      </c>
      <c r="AA67">
        <v>5.9</v>
      </c>
      <c r="AB67">
        <v>2.2480000000000002</v>
      </c>
      <c r="AC67">
        <v>15.143000000000001</v>
      </c>
      <c r="AD67">
        <v>38</v>
      </c>
      <c r="AE67" t="s">
        <v>512</v>
      </c>
      <c r="AF67">
        <v>16</v>
      </c>
      <c r="AG67" t="s">
        <v>517</v>
      </c>
      <c r="AH67" t="str">
        <f t="shared" ref="AH67:AH80" si="1">A67&amp;"_"&amp;B67&amp;"_"&amp;D67&amp;"_"&amp;E67</f>
        <v>chr17_56290417_T_A</v>
      </c>
      <c r="AI67" s="2" t="str">
        <f>IF(ISNUMBER(MATCH(AH67,MM47_FINAL!$AH:$AH,0)),"YES","NO")</f>
        <v>NO</v>
      </c>
    </row>
    <row r="68" spans="1:35" x14ac:dyDescent="0.2">
      <c r="A68" t="s">
        <v>243</v>
      </c>
      <c r="B68">
        <v>12337392</v>
      </c>
      <c r="C68">
        <v>12337392</v>
      </c>
      <c r="D68" t="s">
        <v>45</v>
      </c>
      <c r="E68" t="s">
        <v>35</v>
      </c>
      <c r="F68" t="s">
        <v>36</v>
      </c>
      <c r="G68" t="s">
        <v>244</v>
      </c>
      <c r="H68" t="s">
        <v>47</v>
      </c>
      <c r="I68" t="s">
        <v>245</v>
      </c>
      <c r="J68" t="s">
        <v>246</v>
      </c>
      <c r="O68">
        <v>0</v>
      </c>
      <c r="P68">
        <v>1</v>
      </c>
      <c r="Q68" t="s">
        <v>42</v>
      </c>
      <c r="R68">
        <v>0.998</v>
      </c>
      <c r="S68" t="s">
        <v>42</v>
      </c>
      <c r="T68">
        <v>9.9999999999999995E-7</v>
      </c>
      <c r="U68" t="s">
        <v>42</v>
      </c>
      <c r="V68">
        <v>0.99972700000000003</v>
      </c>
      <c r="W68" t="s">
        <v>42</v>
      </c>
      <c r="X68">
        <v>4.2699999999999996</v>
      </c>
      <c r="Y68" t="s">
        <v>52</v>
      </c>
      <c r="Z68">
        <v>-1.85</v>
      </c>
      <c r="AA68">
        <v>5.62</v>
      </c>
      <c r="AB68">
        <v>2.6560000000000001</v>
      </c>
      <c r="AC68">
        <v>19.6586</v>
      </c>
      <c r="AD68">
        <v>31</v>
      </c>
      <c r="AE68" t="s">
        <v>512</v>
      </c>
      <c r="AF68">
        <v>35</v>
      </c>
      <c r="AG68" t="s">
        <v>517</v>
      </c>
      <c r="AH68" t="str">
        <f t="shared" si="1"/>
        <v>chr18_12337392_G_T</v>
      </c>
      <c r="AI68" s="2" t="str">
        <f>IF(ISNUMBER(MATCH(AH68,MM47_FINAL!$AH:$AH,0)),"YES","NO")</f>
        <v>NO</v>
      </c>
    </row>
    <row r="69" spans="1:35" s="3" customFormat="1" x14ac:dyDescent="0.2">
      <c r="A69" s="3" t="s">
        <v>243</v>
      </c>
      <c r="B69" s="3">
        <v>12344187</v>
      </c>
      <c r="C69" s="3">
        <v>12344187</v>
      </c>
      <c r="D69" s="3" t="s">
        <v>34</v>
      </c>
      <c r="E69" s="3" t="s">
        <v>35</v>
      </c>
      <c r="F69" s="3" t="s">
        <v>36</v>
      </c>
      <c r="G69" s="3" t="s">
        <v>244</v>
      </c>
      <c r="H69" s="3" t="s">
        <v>47</v>
      </c>
      <c r="I69" s="3" t="s">
        <v>247</v>
      </c>
      <c r="J69" s="3" t="s">
        <v>239</v>
      </c>
      <c r="K69" s="3" t="s">
        <v>248</v>
      </c>
      <c r="O69" s="3">
        <v>0</v>
      </c>
      <c r="P69" s="3">
        <v>0.96599999999999997</v>
      </c>
      <c r="Q69" s="3" t="s">
        <v>42</v>
      </c>
      <c r="R69" s="3">
        <v>0.60199999999999998</v>
      </c>
      <c r="S69" s="3" t="s">
        <v>117</v>
      </c>
      <c r="T69" s="3">
        <v>0</v>
      </c>
      <c r="U69" s="3" t="s">
        <v>42</v>
      </c>
      <c r="V69" s="3">
        <v>1</v>
      </c>
      <c r="W69" s="3" t="s">
        <v>42</v>
      </c>
      <c r="X69" s="3">
        <v>4</v>
      </c>
      <c r="Y69" s="3" t="s">
        <v>52</v>
      </c>
      <c r="Z69" s="3">
        <v>-2.71</v>
      </c>
      <c r="AA69" s="3">
        <v>4.6100000000000003</v>
      </c>
      <c r="AB69" s="3">
        <v>2.3919999999999999</v>
      </c>
      <c r="AC69" s="3">
        <v>17.623699999999999</v>
      </c>
      <c r="AD69" s="3">
        <v>33</v>
      </c>
      <c r="AE69" s="3" t="s">
        <v>512</v>
      </c>
      <c r="AF69" s="3">
        <v>11</v>
      </c>
      <c r="AG69" s="3" t="s">
        <v>517</v>
      </c>
      <c r="AH69" s="3" t="str">
        <f t="shared" si="1"/>
        <v>chr18_12344187_C_T</v>
      </c>
      <c r="AI69" s="4" t="str">
        <f>IF(ISNUMBER(MATCH(AH69,MM47_FINAL!$AH:$AH,0)),"YES","NO")</f>
        <v>YES</v>
      </c>
    </row>
    <row r="70" spans="1:35" x14ac:dyDescent="0.2">
      <c r="A70" t="s">
        <v>249</v>
      </c>
      <c r="B70">
        <v>7601112</v>
      </c>
      <c r="C70">
        <v>7601112</v>
      </c>
      <c r="D70" t="s">
        <v>34</v>
      </c>
      <c r="E70" t="s">
        <v>35</v>
      </c>
      <c r="F70" t="s">
        <v>36</v>
      </c>
      <c r="G70" t="s">
        <v>250</v>
      </c>
      <c r="H70" t="s">
        <v>47</v>
      </c>
      <c r="I70" t="s">
        <v>251</v>
      </c>
      <c r="J70" t="s">
        <v>252</v>
      </c>
      <c r="O70">
        <v>0</v>
      </c>
      <c r="P70">
        <v>0.997</v>
      </c>
      <c r="Q70" t="s">
        <v>42</v>
      </c>
      <c r="R70">
        <v>0.85099999999999998</v>
      </c>
      <c r="S70" t="s">
        <v>117</v>
      </c>
      <c r="T70">
        <v>0</v>
      </c>
      <c r="U70" t="s">
        <v>42</v>
      </c>
      <c r="V70">
        <v>0.99970899999999996</v>
      </c>
      <c r="W70" t="s">
        <v>42</v>
      </c>
      <c r="X70">
        <v>2.3250000000000002</v>
      </c>
      <c r="Y70" t="s">
        <v>50</v>
      </c>
      <c r="Z70">
        <v>1.65</v>
      </c>
      <c r="AA70">
        <v>4.3899999999999997</v>
      </c>
      <c r="AB70">
        <v>1.2509999999999999</v>
      </c>
      <c r="AC70">
        <v>13.196899999999999</v>
      </c>
      <c r="AD70">
        <v>31</v>
      </c>
      <c r="AE70" t="s">
        <v>512</v>
      </c>
      <c r="AF70">
        <v>13</v>
      </c>
      <c r="AG70" t="s">
        <v>517</v>
      </c>
      <c r="AH70" t="str">
        <f t="shared" si="1"/>
        <v>chr19_7601112_C_T</v>
      </c>
      <c r="AI70" s="2" t="str">
        <f>IF(ISNUMBER(MATCH(AH70,MM47_FINAL!$AH:$AH,0)),"YES","NO")</f>
        <v>NO</v>
      </c>
    </row>
    <row r="71" spans="1:35" x14ac:dyDescent="0.2">
      <c r="A71" t="s">
        <v>249</v>
      </c>
      <c r="B71">
        <v>7601113</v>
      </c>
      <c r="C71">
        <v>7601113</v>
      </c>
      <c r="D71" t="s">
        <v>45</v>
      </c>
      <c r="E71" t="s">
        <v>34</v>
      </c>
      <c r="F71" t="s">
        <v>36</v>
      </c>
      <c r="G71" t="s">
        <v>250</v>
      </c>
      <c r="H71" t="s">
        <v>47</v>
      </c>
      <c r="I71" t="s">
        <v>253</v>
      </c>
      <c r="J71" t="s">
        <v>252</v>
      </c>
      <c r="O71">
        <v>0</v>
      </c>
      <c r="P71">
        <v>1</v>
      </c>
      <c r="Q71" t="s">
        <v>42</v>
      </c>
      <c r="R71">
        <v>0.999</v>
      </c>
      <c r="S71" t="s">
        <v>42</v>
      </c>
      <c r="T71">
        <v>0</v>
      </c>
      <c r="U71" t="s">
        <v>42</v>
      </c>
      <c r="V71">
        <v>0.99973599999999996</v>
      </c>
      <c r="W71" t="s">
        <v>42</v>
      </c>
      <c r="X71">
        <v>2.3250000000000002</v>
      </c>
      <c r="Y71" t="s">
        <v>50</v>
      </c>
      <c r="Z71">
        <v>1.66</v>
      </c>
      <c r="AA71">
        <v>5.45</v>
      </c>
      <c r="AB71">
        <v>2.56</v>
      </c>
      <c r="AC71">
        <v>16.779299999999999</v>
      </c>
      <c r="AD71">
        <v>33</v>
      </c>
      <c r="AE71" t="s">
        <v>512</v>
      </c>
      <c r="AF71">
        <v>13</v>
      </c>
      <c r="AG71" t="s">
        <v>517</v>
      </c>
      <c r="AH71" t="str">
        <f t="shared" si="1"/>
        <v>chr19_7601113_G_C</v>
      </c>
      <c r="AI71" s="2" t="str">
        <f>IF(ISNUMBER(MATCH(AH71,MM47_FINAL!$AH:$AH,0)),"YES","NO")</f>
        <v>NO</v>
      </c>
    </row>
    <row r="72" spans="1:35" x14ac:dyDescent="0.2">
      <c r="A72" t="s">
        <v>249</v>
      </c>
      <c r="B72">
        <v>54627889</v>
      </c>
      <c r="C72">
        <v>54627889</v>
      </c>
      <c r="D72" t="s">
        <v>45</v>
      </c>
      <c r="E72" t="s">
        <v>35</v>
      </c>
      <c r="F72" t="s">
        <v>36</v>
      </c>
      <c r="G72" t="s">
        <v>254</v>
      </c>
      <c r="H72" t="s">
        <v>47</v>
      </c>
      <c r="I72" t="s">
        <v>255</v>
      </c>
      <c r="J72" t="s">
        <v>256</v>
      </c>
      <c r="O72">
        <v>0</v>
      </c>
      <c r="P72">
        <v>1</v>
      </c>
      <c r="Q72" t="s">
        <v>42</v>
      </c>
      <c r="R72">
        <v>1</v>
      </c>
      <c r="S72" t="s">
        <v>42</v>
      </c>
      <c r="T72">
        <v>0</v>
      </c>
      <c r="U72" t="s">
        <v>42</v>
      </c>
      <c r="V72">
        <v>0.99997400000000003</v>
      </c>
      <c r="W72" t="s">
        <v>42</v>
      </c>
      <c r="X72">
        <v>3.9750000000000001</v>
      </c>
      <c r="Y72" t="s">
        <v>52</v>
      </c>
      <c r="Z72">
        <v>-3.45</v>
      </c>
      <c r="AA72">
        <v>5.33</v>
      </c>
      <c r="AB72">
        <v>2.6669999999999998</v>
      </c>
      <c r="AC72">
        <v>18.164200000000001</v>
      </c>
      <c r="AD72">
        <v>33</v>
      </c>
      <c r="AE72" t="s">
        <v>512</v>
      </c>
      <c r="AF72">
        <v>14</v>
      </c>
      <c r="AG72" t="s">
        <v>517</v>
      </c>
      <c r="AH72" t="str">
        <f t="shared" si="1"/>
        <v>chr19_54627889_G_T</v>
      </c>
      <c r="AI72" s="2" t="str">
        <f>IF(ISNUMBER(MATCH(AH72,MM47_FINAL!$AH:$AH,0)),"YES","NO")</f>
        <v>NO</v>
      </c>
    </row>
    <row r="73" spans="1:35" x14ac:dyDescent="0.2">
      <c r="A73" t="s">
        <v>257</v>
      </c>
      <c r="B73">
        <v>34079062</v>
      </c>
      <c r="C73">
        <v>34079062</v>
      </c>
      <c r="D73" t="s">
        <v>43</v>
      </c>
      <c r="E73" t="s">
        <v>35</v>
      </c>
      <c r="F73" t="s">
        <v>36</v>
      </c>
      <c r="G73" t="s">
        <v>258</v>
      </c>
      <c r="H73" t="s">
        <v>38</v>
      </c>
      <c r="I73" t="s">
        <v>259</v>
      </c>
      <c r="J73" t="s">
        <v>260</v>
      </c>
      <c r="O73">
        <v>1</v>
      </c>
      <c r="P73" t="s">
        <v>41</v>
      </c>
      <c r="Q73" t="s">
        <v>41</v>
      </c>
      <c r="R73" t="s">
        <v>41</v>
      </c>
      <c r="S73" t="s">
        <v>41</v>
      </c>
      <c r="T73">
        <v>3.59E-4</v>
      </c>
      <c r="U73" t="s">
        <v>42</v>
      </c>
      <c r="V73">
        <v>1</v>
      </c>
      <c r="W73" t="s">
        <v>43</v>
      </c>
      <c r="X73" t="s">
        <v>41</v>
      </c>
      <c r="Y73" t="s">
        <v>41</v>
      </c>
      <c r="Z73" t="s">
        <v>41</v>
      </c>
      <c r="AA73">
        <v>3.65</v>
      </c>
      <c r="AB73">
        <v>0.84699999999999998</v>
      </c>
      <c r="AC73">
        <v>9.4417000000000009</v>
      </c>
      <c r="AD73">
        <v>36</v>
      </c>
      <c r="AE73" t="s">
        <v>512</v>
      </c>
      <c r="AF73">
        <v>4</v>
      </c>
      <c r="AG73" t="s">
        <v>517</v>
      </c>
      <c r="AH73" t="str">
        <f t="shared" si="1"/>
        <v>chr20_34079062_A_T</v>
      </c>
      <c r="AI73" s="2" t="str">
        <f>IF(ISNUMBER(MATCH(AH73,MM47_FINAL!$AH:$AH,0)),"YES","NO")</f>
        <v>NO</v>
      </c>
    </row>
    <row r="74" spans="1:35" x14ac:dyDescent="0.2">
      <c r="A74" t="s">
        <v>257</v>
      </c>
      <c r="B74">
        <v>62616378</v>
      </c>
      <c r="C74">
        <v>62616378</v>
      </c>
      <c r="D74" t="s">
        <v>45</v>
      </c>
      <c r="E74" t="s">
        <v>43</v>
      </c>
      <c r="F74" t="s">
        <v>36</v>
      </c>
      <c r="G74" t="s">
        <v>261</v>
      </c>
      <c r="H74" t="s">
        <v>47</v>
      </c>
      <c r="I74" t="s">
        <v>262</v>
      </c>
      <c r="J74" t="s">
        <v>263</v>
      </c>
      <c r="O74">
        <v>0.02</v>
      </c>
      <c r="P74">
        <v>0.42399999999999999</v>
      </c>
      <c r="Q74" t="s">
        <v>223</v>
      </c>
      <c r="R74">
        <v>0.38500000000000001</v>
      </c>
      <c r="S74" t="s">
        <v>223</v>
      </c>
      <c r="T74">
        <v>0</v>
      </c>
      <c r="U74" t="s">
        <v>73</v>
      </c>
      <c r="V74" t="s">
        <v>41</v>
      </c>
      <c r="W74" t="s">
        <v>41</v>
      </c>
      <c r="X74">
        <v>2.63</v>
      </c>
      <c r="Y74" t="s">
        <v>50</v>
      </c>
      <c r="Z74">
        <v>-1.44</v>
      </c>
      <c r="AA74">
        <v>4.75</v>
      </c>
      <c r="AB74">
        <v>2.355</v>
      </c>
      <c r="AC74">
        <v>18.1997</v>
      </c>
      <c r="AD74">
        <v>34</v>
      </c>
      <c r="AE74" t="s">
        <v>512</v>
      </c>
      <c r="AF74">
        <v>17</v>
      </c>
      <c r="AG74" t="s">
        <v>517</v>
      </c>
      <c r="AH74" t="str">
        <f t="shared" si="1"/>
        <v>chr20_62616378_G_A</v>
      </c>
      <c r="AI74" s="2" t="str">
        <f>IF(ISNUMBER(MATCH(AH74,MM47_FINAL!$AH:$AH,0)),"YES","NO")</f>
        <v>NO</v>
      </c>
    </row>
    <row r="75" spans="1:35" x14ac:dyDescent="0.2">
      <c r="A75" t="s">
        <v>264</v>
      </c>
      <c r="B75">
        <v>45390556</v>
      </c>
      <c r="C75">
        <v>45390556</v>
      </c>
      <c r="D75" t="s">
        <v>34</v>
      </c>
      <c r="E75" t="s">
        <v>35</v>
      </c>
      <c r="F75" t="s">
        <v>36</v>
      </c>
      <c r="G75" t="s">
        <v>265</v>
      </c>
      <c r="H75" t="s">
        <v>47</v>
      </c>
      <c r="I75" t="s">
        <v>266</v>
      </c>
      <c r="J75" t="s">
        <v>267</v>
      </c>
      <c r="O75">
        <v>0</v>
      </c>
      <c r="P75">
        <v>1</v>
      </c>
      <c r="Q75" t="s">
        <v>42</v>
      </c>
      <c r="R75">
        <v>0.999</v>
      </c>
      <c r="S75" t="s">
        <v>42</v>
      </c>
      <c r="T75">
        <v>0</v>
      </c>
      <c r="U75" t="s">
        <v>42</v>
      </c>
      <c r="V75">
        <v>0.99800599999999995</v>
      </c>
      <c r="W75" t="s">
        <v>42</v>
      </c>
      <c r="X75">
        <v>3.625</v>
      </c>
      <c r="Y75" t="s">
        <v>52</v>
      </c>
      <c r="Z75">
        <v>-4.17</v>
      </c>
      <c r="AA75">
        <v>4.4800000000000004</v>
      </c>
      <c r="AB75">
        <v>2.0489999999999999</v>
      </c>
      <c r="AC75">
        <v>17.164200000000001</v>
      </c>
      <c r="AD75">
        <v>31</v>
      </c>
      <c r="AE75" t="s">
        <v>512</v>
      </c>
      <c r="AF75">
        <v>13</v>
      </c>
      <c r="AG75" t="s">
        <v>517</v>
      </c>
      <c r="AH75" t="str">
        <f t="shared" si="1"/>
        <v>chr21_45390556_C_T</v>
      </c>
      <c r="AI75" s="2" t="str">
        <f>IF(ISNUMBER(MATCH(AH75,MM47_FINAL!$AH:$AH,0)),"YES","NO")</f>
        <v>NO</v>
      </c>
    </row>
    <row r="76" spans="1:35" x14ac:dyDescent="0.2">
      <c r="A76" t="s">
        <v>268</v>
      </c>
      <c r="B76">
        <v>13778806</v>
      </c>
      <c r="C76">
        <v>13778806</v>
      </c>
      <c r="D76" t="s">
        <v>43</v>
      </c>
      <c r="E76" t="s">
        <v>35</v>
      </c>
      <c r="F76" t="s">
        <v>36</v>
      </c>
      <c r="G76" t="s">
        <v>269</v>
      </c>
      <c r="H76" t="s">
        <v>38</v>
      </c>
      <c r="I76" t="s">
        <v>270</v>
      </c>
      <c r="O76">
        <v>1</v>
      </c>
      <c r="P76" t="s">
        <v>41</v>
      </c>
      <c r="Q76" t="s">
        <v>41</v>
      </c>
      <c r="R76" t="s">
        <v>41</v>
      </c>
      <c r="S76" t="s">
        <v>41</v>
      </c>
      <c r="T76">
        <v>5.6105000000000002E-2</v>
      </c>
      <c r="U76" t="s">
        <v>73</v>
      </c>
      <c r="V76">
        <v>1</v>
      </c>
      <c r="W76" t="s">
        <v>43</v>
      </c>
      <c r="X76" t="s">
        <v>41</v>
      </c>
      <c r="Y76" t="s">
        <v>41</v>
      </c>
      <c r="Z76" t="s">
        <v>41</v>
      </c>
      <c r="AA76">
        <v>5.41</v>
      </c>
      <c r="AB76">
        <v>1.81</v>
      </c>
      <c r="AC76">
        <v>9.3428000000000004</v>
      </c>
      <c r="AD76">
        <v>35</v>
      </c>
      <c r="AE76" t="s">
        <v>512</v>
      </c>
      <c r="AF76">
        <v>12</v>
      </c>
      <c r="AG76" t="s">
        <v>517</v>
      </c>
      <c r="AH76" t="str">
        <f t="shared" si="1"/>
        <v>chrX_13778806_A_T</v>
      </c>
      <c r="AI76" s="2" t="str">
        <f>IF(ISNUMBER(MATCH(AH76,MM47_FINAL!$AH:$AH,0)),"YES","NO")</f>
        <v>NO</v>
      </c>
    </row>
    <row r="77" spans="1:35" x14ac:dyDescent="0.2">
      <c r="A77" t="s">
        <v>268</v>
      </c>
      <c r="B77">
        <v>31190501</v>
      </c>
      <c r="C77">
        <v>31190501</v>
      </c>
      <c r="D77" t="s">
        <v>45</v>
      </c>
      <c r="E77" t="s">
        <v>35</v>
      </c>
      <c r="F77" t="s">
        <v>36</v>
      </c>
      <c r="G77" t="s">
        <v>271</v>
      </c>
      <c r="H77" t="s">
        <v>47</v>
      </c>
      <c r="I77" t="s">
        <v>272</v>
      </c>
      <c r="J77" t="s">
        <v>273</v>
      </c>
      <c r="O77">
        <v>0</v>
      </c>
      <c r="P77">
        <v>0.998</v>
      </c>
      <c r="Q77" t="s">
        <v>42</v>
      </c>
      <c r="R77">
        <v>0.99099999999999999</v>
      </c>
      <c r="S77" t="s">
        <v>42</v>
      </c>
      <c r="T77">
        <v>2.258E-3</v>
      </c>
      <c r="U77" t="s">
        <v>274</v>
      </c>
      <c r="V77">
        <v>0.99913700000000005</v>
      </c>
      <c r="W77" t="s">
        <v>42</v>
      </c>
      <c r="X77">
        <v>2.79</v>
      </c>
      <c r="Y77" t="s">
        <v>50</v>
      </c>
      <c r="Z77">
        <v>0.57999999999999996</v>
      </c>
      <c r="AA77">
        <v>5.24</v>
      </c>
      <c r="AB77">
        <v>2.4329999999999998</v>
      </c>
      <c r="AC77">
        <v>17.9679</v>
      </c>
      <c r="AD77">
        <v>31</v>
      </c>
      <c r="AE77" t="s">
        <v>512</v>
      </c>
      <c r="AF77">
        <v>11</v>
      </c>
      <c r="AG77" t="s">
        <v>517</v>
      </c>
      <c r="AH77" t="str">
        <f t="shared" si="1"/>
        <v>chrX_31190501_G_T</v>
      </c>
      <c r="AI77" s="2" t="str">
        <f>IF(ISNUMBER(MATCH(AH77,MM47_FINAL!$AH:$AH,0)),"YES","NO")</f>
        <v>NO</v>
      </c>
    </row>
    <row r="78" spans="1:35" x14ac:dyDescent="0.2">
      <c r="A78" t="s">
        <v>268</v>
      </c>
      <c r="B78">
        <v>32632420</v>
      </c>
      <c r="C78">
        <v>32632420</v>
      </c>
      <c r="D78" t="s">
        <v>34</v>
      </c>
      <c r="E78" t="s">
        <v>43</v>
      </c>
      <c r="F78" t="s">
        <v>36</v>
      </c>
      <c r="G78" t="s">
        <v>271</v>
      </c>
      <c r="H78" t="s">
        <v>47</v>
      </c>
      <c r="I78" t="s">
        <v>275</v>
      </c>
      <c r="J78" t="s">
        <v>267</v>
      </c>
      <c r="O78" t="s">
        <v>41</v>
      </c>
      <c r="P78">
        <v>1</v>
      </c>
      <c r="Q78" t="s">
        <v>42</v>
      </c>
      <c r="R78">
        <v>0.998</v>
      </c>
      <c r="S78" t="s">
        <v>42</v>
      </c>
      <c r="T78">
        <v>2.6059999999999998E-3</v>
      </c>
      <c r="U78" t="s">
        <v>274</v>
      </c>
      <c r="V78">
        <v>9.9999999999999995E-7</v>
      </c>
      <c r="W78" t="s">
        <v>73</v>
      </c>
      <c r="X78">
        <v>1.81</v>
      </c>
      <c r="Y78" t="s">
        <v>206</v>
      </c>
      <c r="Z78">
        <v>1.45</v>
      </c>
      <c r="AA78">
        <v>5.62</v>
      </c>
      <c r="AB78">
        <v>2.4929999999999999</v>
      </c>
      <c r="AC78">
        <v>17.5124</v>
      </c>
      <c r="AD78">
        <v>32</v>
      </c>
      <c r="AE78" t="s">
        <v>512</v>
      </c>
      <c r="AF78">
        <v>29</v>
      </c>
      <c r="AG78" t="s">
        <v>517</v>
      </c>
      <c r="AH78" t="str">
        <f t="shared" si="1"/>
        <v>chrX_32632420_C_A</v>
      </c>
      <c r="AI78" s="2" t="str">
        <f>IF(ISNUMBER(MATCH(AH78,MM47_FINAL!$AH:$AH,0)),"YES","NO")</f>
        <v>NO</v>
      </c>
    </row>
    <row r="79" spans="1:35" x14ac:dyDescent="0.2">
      <c r="A79" t="s">
        <v>268</v>
      </c>
      <c r="B79">
        <v>49082374</v>
      </c>
      <c r="C79">
        <v>49082374</v>
      </c>
      <c r="D79" t="s">
        <v>45</v>
      </c>
      <c r="E79" t="s">
        <v>43</v>
      </c>
      <c r="F79" t="s">
        <v>36</v>
      </c>
      <c r="G79" t="s">
        <v>276</v>
      </c>
      <c r="H79" t="s">
        <v>38</v>
      </c>
      <c r="I79" t="s">
        <v>277</v>
      </c>
      <c r="J79" t="s">
        <v>278</v>
      </c>
      <c r="O79">
        <v>0.01</v>
      </c>
      <c r="P79" t="s">
        <v>41</v>
      </c>
      <c r="Q79" t="s">
        <v>41</v>
      </c>
      <c r="R79" t="s">
        <v>41</v>
      </c>
      <c r="S79" t="s">
        <v>41</v>
      </c>
      <c r="T79">
        <v>1.1789999999999999E-3</v>
      </c>
      <c r="U79" t="s">
        <v>274</v>
      </c>
      <c r="V79">
        <v>1</v>
      </c>
      <c r="W79" t="s">
        <v>43</v>
      </c>
      <c r="X79" t="s">
        <v>41</v>
      </c>
      <c r="Y79" t="s">
        <v>41</v>
      </c>
      <c r="Z79" t="s">
        <v>41</v>
      </c>
      <c r="AA79">
        <v>3.56</v>
      </c>
      <c r="AB79">
        <v>1.381</v>
      </c>
      <c r="AC79">
        <v>13.517200000000001</v>
      </c>
      <c r="AD79">
        <v>37</v>
      </c>
      <c r="AE79" t="s">
        <v>512</v>
      </c>
      <c r="AF79">
        <v>14</v>
      </c>
      <c r="AG79" t="s">
        <v>517</v>
      </c>
      <c r="AH79" t="str">
        <f t="shared" si="1"/>
        <v>chrX_49082374_G_A</v>
      </c>
      <c r="AI79" s="2" t="str">
        <f>IF(ISNUMBER(MATCH(AH79,MM47_FINAL!$AH:$AH,0)),"YES","NO")</f>
        <v>NO</v>
      </c>
    </row>
    <row r="80" spans="1:35" x14ac:dyDescent="0.2">
      <c r="A80" t="s">
        <v>268</v>
      </c>
      <c r="B80">
        <v>85119690</v>
      </c>
      <c r="C80">
        <v>85119690</v>
      </c>
      <c r="D80" t="s">
        <v>45</v>
      </c>
      <c r="E80" t="s">
        <v>35</v>
      </c>
      <c r="F80" t="s">
        <v>36</v>
      </c>
      <c r="G80" t="s">
        <v>279</v>
      </c>
      <c r="H80" t="s">
        <v>38</v>
      </c>
      <c r="I80" t="s">
        <v>280</v>
      </c>
      <c r="J80" t="s">
        <v>281</v>
      </c>
      <c r="O80">
        <v>0.75</v>
      </c>
      <c r="P80" t="s">
        <v>41</v>
      </c>
      <c r="Q80" t="s">
        <v>41</v>
      </c>
      <c r="R80" t="s">
        <v>41</v>
      </c>
      <c r="S80" t="s">
        <v>41</v>
      </c>
      <c r="T80">
        <v>0.63675999999999999</v>
      </c>
      <c r="U80" t="s">
        <v>73</v>
      </c>
      <c r="V80">
        <v>0.99999700000000002</v>
      </c>
      <c r="W80" t="s">
        <v>42</v>
      </c>
      <c r="X80" t="s">
        <v>41</v>
      </c>
      <c r="Y80" t="s">
        <v>516</v>
      </c>
      <c r="Z80" t="s">
        <v>41</v>
      </c>
      <c r="AA80">
        <v>4.8600000000000003</v>
      </c>
      <c r="AB80">
        <v>1.968</v>
      </c>
      <c r="AC80">
        <v>16.720099999999999</v>
      </c>
      <c r="AD80">
        <v>34</v>
      </c>
      <c r="AE80" t="s">
        <v>512</v>
      </c>
      <c r="AF80">
        <v>4</v>
      </c>
      <c r="AG80" t="s">
        <v>517</v>
      </c>
      <c r="AH80" t="str">
        <f t="shared" si="1"/>
        <v>chrX_85119690_G_T</v>
      </c>
      <c r="AI80" s="2" t="str">
        <f>IF(ISNUMBER(MATCH(AH80,MM47_FINAL!$AH:$AH,0)),"YES","NO")</f>
        <v>NO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AE2E-9A85-D049-B440-63F8ABE6EEF0}">
  <dimension ref="A1:AI111"/>
  <sheetViews>
    <sheetView tabSelected="1" topLeftCell="V1" zoomScale="84" workbookViewId="0">
      <selection activeCell="AE115" sqref="AE115"/>
    </sheetView>
  </sheetViews>
  <sheetFormatPr baseColWidth="10" defaultRowHeight="16" x14ac:dyDescent="0.2"/>
  <cols>
    <col min="8" max="8" width="13" customWidth="1"/>
    <col min="9" max="9" width="14.5" customWidth="1"/>
    <col min="10" max="10" width="17.33203125" customWidth="1"/>
    <col min="32" max="32" width="12.6640625" customWidth="1"/>
    <col min="33" max="33" width="18.5" customWidth="1"/>
    <col min="34" max="34" width="19.83203125" customWidth="1"/>
    <col min="35" max="35" width="16.33203125" style="2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515</v>
      </c>
      <c r="AI1" s="2" t="s">
        <v>511</v>
      </c>
    </row>
    <row r="2" spans="1:35" x14ac:dyDescent="0.2">
      <c r="A2" t="s">
        <v>33</v>
      </c>
      <c r="B2">
        <v>10042664</v>
      </c>
      <c r="C2">
        <v>10042664</v>
      </c>
      <c r="D2" t="s">
        <v>45</v>
      </c>
      <c r="E2" t="s">
        <v>35</v>
      </c>
      <c r="F2" t="s">
        <v>36</v>
      </c>
      <c r="G2" t="s">
        <v>510</v>
      </c>
      <c r="H2" t="s">
        <v>38</v>
      </c>
      <c r="I2" t="s">
        <v>509</v>
      </c>
      <c r="J2" t="s">
        <v>508</v>
      </c>
      <c r="O2">
        <v>1</v>
      </c>
      <c r="P2" t="s">
        <v>41</v>
      </c>
      <c r="Q2" t="s">
        <v>41</v>
      </c>
      <c r="R2" t="s">
        <v>41</v>
      </c>
      <c r="S2" t="s">
        <v>41</v>
      </c>
      <c r="T2">
        <v>1.8900000000000001E-4</v>
      </c>
      <c r="U2" t="s">
        <v>42</v>
      </c>
      <c r="V2">
        <v>1</v>
      </c>
      <c r="W2" t="s">
        <v>42</v>
      </c>
      <c r="X2" t="s">
        <v>41</v>
      </c>
      <c r="Y2" t="s">
        <v>41</v>
      </c>
      <c r="Z2" t="s">
        <v>41</v>
      </c>
      <c r="AA2">
        <v>3.09</v>
      </c>
      <c r="AB2">
        <v>0.59699999999999998</v>
      </c>
      <c r="AC2">
        <v>10.4801</v>
      </c>
      <c r="AD2">
        <v>34</v>
      </c>
      <c r="AE2" s="5" t="s">
        <v>521</v>
      </c>
      <c r="AF2">
        <v>1</v>
      </c>
      <c r="AG2" t="s">
        <v>44</v>
      </c>
      <c r="AH2" t="str">
        <f>A2&amp;"_"&amp;B2&amp;"_"&amp;D2&amp;"_"&amp;E2</f>
        <v>chr1_10042664_G_T</v>
      </c>
      <c r="AI2" s="2" t="str">
        <f>IF(ISNUMBER(MATCH(AH2,'3347_FINAL'!$AH:$AH,0)),"YES","NO")</f>
        <v>NO</v>
      </c>
    </row>
    <row r="3" spans="1:35" x14ac:dyDescent="0.2">
      <c r="A3" t="s">
        <v>33</v>
      </c>
      <c r="B3">
        <v>20412692</v>
      </c>
      <c r="C3">
        <v>20412692</v>
      </c>
      <c r="D3" t="s">
        <v>34</v>
      </c>
      <c r="E3" t="s">
        <v>35</v>
      </c>
      <c r="F3" t="s">
        <v>36</v>
      </c>
      <c r="G3" t="s">
        <v>507</v>
      </c>
      <c r="H3" t="s">
        <v>38</v>
      </c>
      <c r="I3" t="s">
        <v>506</v>
      </c>
      <c r="M3">
        <v>5.0000000000000001E-4</v>
      </c>
      <c r="N3" t="s">
        <v>505</v>
      </c>
      <c r="O3">
        <v>0.88</v>
      </c>
      <c r="P3" t="s">
        <v>41</v>
      </c>
      <c r="Q3" t="s">
        <v>41</v>
      </c>
      <c r="R3" t="s">
        <v>41</v>
      </c>
      <c r="S3" t="s">
        <v>41</v>
      </c>
      <c r="T3">
        <v>0.45804699999999998</v>
      </c>
      <c r="U3" t="s">
        <v>73</v>
      </c>
      <c r="V3">
        <v>1</v>
      </c>
      <c r="W3" t="s">
        <v>43</v>
      </c>
      <c r="X3" t="s">
        <v>41</v>
      </c>
      <c r="Y3" t="s">
        <v>41</v>
      </c>
      <c r="Z3" t="s">
        <v>41</v>
      </c>
      <c r="AA3">
        <v>1.79</v>
      </c>
      <c r="AB3">
        <v>0.29399999999999998</v>
      </c>
      <c r="AC3">
        <v>7.9035000000000002</v>
      </c>
      <c r="AD3">
        <v>34</v>
      </c>
      <c r="AE3" t="s">
        <v>512</v>
      </c>
      <c r="AF3">
        <v>8</v>
      </c>
      <c r="AG3" t="s">
        <v>517</v>
      </c>
      <c r="AH3" t="str">
        <f t="shared" ref="AH3:AH66" si="0">A3&amp;"_"&amp;B3&amp;"_"&amp;D3&amp;"_"&amp;E3</f>
        <v>chr1_20412692_C_T</v>
      </c>
      <c r="AI3" s="2" t="str">
        <f>IF(ISNUMBER(MATCH(AH3,'3347_FINAL'!$AH:$AH,0)),"YES","NO")</f>
        <v>NO</v>
      </c>
    </row>
    <row r="4" spans="1:35" x14ac:dyDescent="0.2">
      <c r="A4" t="s">
        <v>33</v>
      </c>
      <c r="B4">
        <v>26769265</v>
      </c>
      <c r="C4">
        <v>26769265</v>
      </c>
      <c r="D4" t="s">
        <v>35</v>
      </c>
      <c r="E4" t="s">
        <v>43</v>
      </c>
      <c r="F4" t="s">
        <v>36</v>
      </c>
      <c r="G4" t="s">
        <v>46</v>
      </c>
      <c r="H4" t="s">
        <v>47</v>
      </c>
      <c r="I4" t="s">
        <v>504</v>
      </c>
      <c r="J4" t="s">
        <v>49</v>
      </c>
      <c r="O4">
        <v>0</v>
      </c>
      <c r="P4">
        <v>1</v>
      </c>
      <c r="Q4" t="s">
        <v>42</v>
      </c>
      <c r="R4">
        <v>1</v>
      </c>
      <c r="S4" t="s">
        <v>42</v>
      </c>
      <c r="T4">
        <v>0</v>
      </c>
      <c r="U4" t="s">
        <v>42</v>
      </c>
      <c r="V4">
        <v>0.99998799999999999</v>
      </c>
      <c r="W4" t="s">
        <v>42</v>
      </c>
      <c r="X4">
        <v>4.32</v>
      </c>
      <c r="Y4" t="s">
        <v>52</v>
      </c>
      <c r="Z4">
        <v>1.06</v>
      </c>
      <c r="AA4">
        <v>5.92</v>
      </c>
      <c r="AB4">
        <v>2.266</v>
      </c>
      <c r="AC4">
        <v>15.5442</v>
      </c>
      <c r="AD4">
        <v>31</v>
      </c>
      <c r="AE4" t="s">
        <v>512</v>
      </c>
      <c r="AF4">
        <v>6</v>
      </c>
      <c r="AG4" t="s">
        <v>517</v>
      </c>
      <c r="AH4" t="str">
        <f t="shared" si="0"/>
        <v>chr1_26769265_T_A</v>
      </c>
      <c r="AI4" s="2" t="str">
        <f>IF(ISNUMBER(MATCH(AH4,'3347_FINAL'!$AH:$AH,0)),"YES","NO")</f>
        <v>NO</v>
      </c>
    </row>
    <row r="5" spans="1:35" x14ac:dyDescent="0.2">
      <c r="A5" t="s">
        <v>33</v>
      </c>
      <c r="B5">
        <v>68910459</v>
      </c>
      <c r="C5">
        <v>68910459</v>
      </c>
      <c r="D5" t="s">
        <v>34</v>
      </c>
      <c r="E5" t="s">
        <v>35</v>
      </c>
      <c r="F5" t="s">
        <v>36</v>
      </c>
      <c r="G5" t="s">
        <v>503</v>
      </c>
      <c r="H5" t="s">
        <v>47</v>
      </c>
      <c r="I5" t="s">
        <v>502</v>
      </c>
      <c r="J5" t="s">
        <v>501</v>
      </c>
      <c r="O5" t="s">
        <v>41</v>
      </c>
      <c r="P5">
        <v>0.998</v>
      </c>
      <c r="Q5" t="s">
        <v>42</v>
      </c>
      <c r="R5">
        <v>0.96</v>
      </c>
      <c r="S5" t="s">
        <v>42</v>
      </c>
      <c r="T5">
        <v>0</v>
      </c>
      <c r="U5" t="s">
        <v>42</v>
      </c>
      <c r="V5">
        <v>0.99999700000000002</v>
      </c>
      <c r="W5" t="s">
        <v>42</v>
      </c>
      <c r="X5">
        <v>1.43</v>
      </c>
      <c r="Y5" t="s">
        <v>206</v>
      </c>
      <c r="Z5">
        <v>-3.42</v>
      </c>
      <c r="AA5">
        <v>4.88</v>
      </c>
      <c r="AB5">
        <v>2.5449999999999999</v>
      </c>
      <c r="AC5">
        <v>18.216799999999999</v>
      </c>
      <c r="AD5">
        <v>34</v>
      </c>
      <c r="AE5" t="s">
        <v>512</v>
      </c>
      <c r="AF5">
        <v>22</v>
      </c>
      <c r="AG5" t="s">
        <v>517</v>
      </c>
      <c r="AH5" t="str">
        <f t="shared" si="0"/>
        <v>chr1_68910459_C_T</v>
      </c>
      <c r="AI5" s="2" t="str">
        <f>IF(ISNUMBER(MATCH(AH5,'3347_FINAL'!$AH:$AH,0)),"YES","NO")</f>
        <v>NO</v>
      </c>
    </row>
    <row r="6" spans="1:35" x14ac:dyDescent="0.2">
      <c r="A6" t="s">
        <v>33</v>
      </c>
      <c r="B6">
        <v>150316667</v>
      </c>
      <c r="C6">
        <v>150316667</v>
      </c>
      <c r="D6" t="s">
        <v>45</v>
      </c>
      <c r="E6" t="s">
        <v>35</v>
      </c>
      <c r="F6" t="s">
        <v>36</v>
      </c>
      <c r="G6" t="s">
        <v>62</v>
      </c>
      <c r="H6" t="s">
        <v>38</v>
      </c>
      <c r="I6" t="s">
        <v>500</v>
      </c>
      <c r="J6" t="s">
        <v>499</v>
      </c>
      <c r="O6">
        <v>0.01</v>
      </c>
      <c r="P6" t="s">
        <v>41</v>
      </c>
      <c r="Q6" t="s">
        <v>41</v>
      </c>
      <c r="R6" t="s">
        <v>41</v>
      </c>
      <c r="S6" t="s">
        <v>41</v>
      </c>
      <c r="T6">
        <v>0</v>
      </c>
      <c r="U6" t="s">
        <v>42</v>
      </c>
      <c r="V6">
        <v>1</v>
      </c>
      <c r="W6" t="s">
        <v>43</v>
      </c>
      <c r="X6" t="s">
        <v>41</v>
      </c>
      <c r="Y6" t="s">
        <v>41</v>
      </c>
      <c r="Z6" t="s">
        <v>41</v>
      </c>
      <c r="AA6">
        <v>5.82</v>
      </c>
      <c r="AB6">
        <v>2.7589999999999999</v>
      </c>
      <c r="AC6">
        <v>20.1022</v>
      </c>
      <c r="AD6">
        <v>41</v>
      </c>
      <c r="AE6" s="5" t="s">
        <v>521</v>
      </c>
      <c r="AF6">
        <v>9</v>
      </c>
      <c r="AG6" t="s">
        <v>44</v>
      </c>
      <c r="AH6" t="str">
        <f t="shared" si="0"/>
        <v>chr1_150316667_G_T</v>
      </c>
      <c r="AI6" s="2" t="str">
        <f>IF(ISNUMBER(MATCH(AH6,'3347_FINAL'!$AH:$AH,0)),"YES","NO")</f>
        <v>NO</v>
      </c>
    </row>
    <row r="7" spans="1:35" x14ac:dyDescent="0.2">
      <c r="A7" t="s">
        <v>33</v>
      </c>
      <c r="B7">
        <v>156145389</v>
      </c>
      <c r="C7">
        <v>156145389</v>
      </c>
      <c r="D7" t="s">
        <v>45</v>
      </c>
      <c r="E7" t="s">
        <v>43</v>
      </c>
      <c r="F7" t="s">
        <v>36</v>
      </c>
      <c r="G7" t="s">
        <v>498</v>
      </c>
      <c r="H7" t="s">
        <v>38</v>
      </c>
      <c r="I7" t="s">
        <v>497</v>
      </c>
      <c r="O7">
        <v>0.04</v>
      </c>
      <c r="P7" t="s">
        <v>41</v>
      </c>
      <c r="Q7" t="s">
        <v>41</v>
      </c>
      <c r="R7" t="s">
        <v>41</v>
      </c>
      <c r="S7" t="s">
        <v>41</v>
      </c>
      <c r="T7">
        <v>0.28291500000000003</v>
      </c>
      <c r="U7" t="s">
        <v>73</v>
      </c>
      <c r="V7">
        <v>1</v>
      </c>
      <c r="W7" t="s">
        <v>43</v>
      </c>
      <c r="X7" t="s">
        <v>41</v>
      </c>
      <c r="Y7" t="s">
        <v>41</v>
      </c>
      <c r="Z7" t="s">
        <v>41</v>
      </c>
      <c r="AA7">
        <v>3.62</v>
      </c>
      <c r="AB7">
        <v>1.107</v>
      </c>
      <c r="AC7">
        <v>11.1226</v>
      </c>
      <c r="AD7">
        <v>36</v>
      </c>
      <c r="AE7" t="s">
        <v>512</v>
      </c>
      <c r="AF7">
        <v>9</v>
      </c>
      <c r="AG7" t="s">
        <v>517</v>
      </c>
      <c r="AH7" t="str">
        <f t="shared" si="0"/>
        <v>chr1_156145389_G_A</v>
      </c>
      <c r="AI7" s="2" t="str">
        <f>IF(ISNUMBER(MATCH(AH7,'3347_FINAL'!$AH:$AH,0)),"YES","NO")</f>
        <v>NO</v>
      </c>
    </row>
    <row r="8" spans="1:35" x14ac:dyDescent="0.2">
      <c r="A8" t="s">
        <v>33</v>
      </c>
      <c r="B8">
        <v>185833602</v>
      </c>
      <c r="C8">
        <v>185833602</v>
      </c>
      <c r="D8" t="s">
        <v>45</v>
      </c>
      <c r="E8" t="s">
        <v>43</v>
      </c>
      <c r="F8" t="s">
        <v>36</v>
      </c>
      <c r="G8" t="s">
        <v>490</v>
      </c>
      <c r="H8" t="s">
        <v>47</v>
      </c>
      <c r="I8" t="s">
        <v>496</v>
      </c>
      <c r="J8" t="s">
        <v>493</v>
      </c>
      <c r="O8" t="s">
        <v>41</v>
      </c>
      <c r="P8">
        <v>1</v>
      </c>
      <c r="Q8" t="s">
        <v>42</v>
      </c>
      <c r="R8">
        <v>1</v>
      </c>
      <c r="S8" t="s">
        <v>42</v>
      </c>
      <c r="T8">
        <v>0</v>
      </c>
      <c r="U8" t="s">
        <v>42</v>
      </c>
      <c r="V8">
        <v>0.99998500000000001</v>
      </c>
      <c r="W8" t="s">
        <v>42</v>
      </c>
      <c r="X8">
        <v>3.2650000000000001</v>
      </c>
      <c r="Y8" t="s">
        <v>50</v>
      </c>
      <c r="Z8">
        <v>-4.57</v>
      </c>
      <c r="AA8">
        <v>5.43</v>
      </c>
      <c r="AB8">
        <v>2.5329999999999999</v>
      </c>
      <c r="AC8">
        <v>19.240200000000002</v>
      </c>
      <c r="AD8">
        <v>33</v>
      </c>
      <c r="AE8" t="s">
        <v>512</v>
      </c>
      <c r="AF8">
        <v>19</v>
      </c>
      <c r="AG8" t="s">
        <v>517</v>
      </c>
      <c r="AH8" t="str">
        <f t="shared" si="0"/>
        <v>chr1_185833602_G_A</v>
      </c>
      <c r="AI8" s="2" t="str">
        <f>IF(ISNUMBER(MATCH(AH8,'3347_FINAL'!$AH:$AH,0)),"YES","NO")</f>
        <v>NO</v>
      </c>
    </row>
    <row r="9" spans="1:35" x14ac:dyDescent="0.2">
      <c r="A9" t="s">
        <v>33</v>
      </c>
      <c r="B9">
        <v>185833603</v>
      </c>
      <c r="C9">
        <v>185833603</v>
      </c>
      <c r="D9" t="s">
        <v>45</v>
      </c>
      <c r="E9" t="s">
        <v>43</v>
      </c>
      <c r="F9" t="s">
        <v>36</v>
      </c>
      <c r="G9" t="s">
        <v>490</v>
      </c>
      <c r="H9" t="s">
        <v>47</v>
      </c>
      <c r="I9" t="s">
        <v>495</v>
      </c>
      <c r="J9" t="s">
        <v>493</v>
      </c>
      <c r="O9">
        <v>0</v>
      </c>
      <c r="P9">
        <v>1</v>
      </c>
      <c r="Q9" t="s">
        <v>42</v>
      </c>
      <c r="R9">
        <v>1</v>
      </c>
      <c r="S9" t="s">
        <v>42</v>
      </c>
      <c r="T9">
        <v>0</v>
      </c>
      <c r="U9" t="s">
        <v>42</v>
      </c>
      <c r="V9">
        <v>0.99998799999999999</v>
      </c>
      <c r="W9" t="s">
        <v>42</v>
      </c>
      <c r="X9">
        <v>2.92</v>
      </c>
      <c r="Y9" t="s">
        <v>50</v>
      </c>
      <c r="Z9">
        <v>-4.59</v>
      </c>
      <c r="AA9">
        <v>5.43</v>
      </c>
      <c r="AB9">
        <v>2.5329999999999999</v>
      </c>
      <c r="AC9">
        <v>19.240200000000002</v>
      </c>
      <c r="AD9">
        <v>33</v>
      </c>
      <c r="AE9" t="s">
        <v>512</v>
      </c>
      <c r="AF9">
        <v>19</v>
      </c>
      <c r="AG9" t="s">
        <v>517</v>
      </c>
      <c r="AH9" t="str">
        <f t="shared" si="0"/>
        <v>chr1_185833603_G_A</v>
      </c>
      <c r="AI9" s="2" t="str">
        <f>IF(ISNUMBER(MATCH(AH9,'3347_FINAL'!$AH:$AH,0)),"YES","NO")</f>
        <v>NO</v>
      </c>
    </row>
    <row r="10" spans="1:35" x14ac:dyDescent="0.2">
      <c r="A10" t="s">
        <v>33</v>
      </c>
      <c r="B10">
        <v>185833605</v>
      </c>
      <c r="C10">
        <v>185833605</v>
      </c>
      <c r="D10" t="s">
        <v>45</v>
      </c>
      <c r="E10" t="s">
        <v>35</v>
      </c>
      <c r="F10" t="s">
        <v>36</v>
      </c>
      <c r="G10" t="s">
        <v>490</v>
      </c>
      <c r="H10" t="s">
        <v>47</v>
      </c>
      <c r="I10" t="s">
        <v>494</v>
      </c>
      <c r="J10" t="s">
        <v>493</v>
      </c>
      <c r="O10">
        <v>0</v>
      </c>
      <c r="P10">
        <v>1</v>
      </c>
      <c r="Q10" t="s">
        <v>42</v>
      </c>
      <c r="R10">
        <v>1</v>
      </c>
      <c r="S10" t="s">
        <v>42</v>
      </c>
      <c r="T10">
        <v>0</v>
      </c>
      <c r="U10" t="s">
        <v>42</v>
      </c>
      <c r="V10">
        <v>0.99998500000000001</v>
      </c>
      <c r="W10" t="s">
        <v>42</v>
      </c>
      <c r="X10">
        <v>3.3</v>
      </c>
      <c r="Y10" t="s">
        <v>50</v>
      </c>
      <c r="Z10">
        <v>0.6</v>
      </c>
      <c r="AA10">
        <v>5.43</v>
      </c>
      <c r="AB10">
        <v>2.5329999999999999</v>
      </c>
      <c r="AC10">
        <v>19.240200000000002</v>
      </c>
      <c r="AD10">
        <v>32</v>
      </c>
      <c r="AE10" t="s">
        <v>512</v>
      </c>
      <c r="AF10">
        <v>19</v>
      </c>
      <c r="AG10" t="s">
        <v>517</v>
      </c>
      <c r="AH10" t="str">
        <f t="shared" si="0"/>
        <v>chr1_185833605_G_T</v>
      </c>
      <c r="AI10" s="2" t="str">
        <f>IF(ISNUMBER(MATCH(AH10,'3347_FINAL'!$AH:$AH,0)),"YES","NO")</f>
        <v>NO</v>
      </c>
    </row>
    <row r="11" spans="1:35" x14ac:dyDescent="0.2">
      <c r="A11" t="s">
        <v>33</v>
      </c>
      <c r="B11">
        <v>185891515</v>
      </c>
      <c r="C11">
        <v>185891515</v>
      </c>
      <c r="D11" t="s">
        <v>34</v>
      </c>
      <c r="E11" t="s">
        <v>43</v>
      </c>
      <c r="F11" t="s">
        <v>36</v>
      </c>
      <c r="G11" t="s">
        <v>490</v>
      </c>
      <c r="H11" t="s">
        <v>38</v>
      </c>
      <c r="I11" t="s">
        <v>492</v>
      </c>
      <c r="J11" t="s">
        <v>491</v>
      </c>
      <c r="O11">
        <v>1</v>
      </c>
      <c r="P11" t="s">
        <v>41</v>
      </c>
      <c r="Q11" t="s">
        <v>41</v>
      </c>
      <c r="R11" t="s">
        <v>41</v>
      </c>
      <c r="S11" t="s">
        <v>41</v>
      </c>
      <c r="T11">
        <v>0</v>
      </c>
      <c r="U11" t="s">
        <v>42</v>
      </c>
      <c r="V11">
        <v>1</v>
      </c>
      <c r="W11" t="s">
        <v>43</v>
      </c>
      <c r="X11" t="s">
        <v>41</v>
      </c>
      <c r="Y11" t="s">
        <v>41</v>
      </c>
      <c r="Z11" t="s">
        <v>41</v>
      </c>
      <c r="AA11">
        <v>5.43</v>
      </c>
      <c r="AB11">
        <v>2.5270000000000001</v>
      </c>
      <c r="AC11">
        <v>19.2454</v>
      </c>
      <c r="AD11">
        <v>38</v>
      </c>
      <c r="AE11" t="s">
        <v>512</v>
      </c>
      <c r="AF11">
        <v>9</v>
      </c>
      <c r="AG11" t="s">
        <v>517</v>
      </c>
      <c r="AH11" t="str">
        <f t="shared" si="0"/>
        <v>chr1_185891515_C_A</v>
      </c>
      <c r="AI11" s="2" t="str">
        <f>IF(ISNUMBER(MATCH(AH11,'3347_FINAL'!$AH:$AH,0)),"YES","NO")</f>
        <v>NO</v>
      </c>
    </row>
    <row r="12" spans="1:35" x14ac:dyDescent="0.2">
      <c r="A12" t="s">
        <v>33</v>
      </c>
      <c r="B12">
        <v>185958690</v>
      </c>
      <c r="C12">
        <v>185958690</v>
      </c>
      <c r="D12" t="s">
        <v>34</v>
      </c>
      <c r="E12" t="s">
        <v>43</v>
      </c>
      <c r="F12" t="s">
        <v>36</v>
      </c>
      <c r="G12" t="s">
        <v>490</v>
      </c>
      <c r="H12" t="s">
        <v>38</v>
      </c>
      <c r="I12" t="s">
        <v>489</v>
      </c>
      <c r="J12" t="s">
        <v>488</v>
      </c>
      <c r="O12">
        <v>1</v>
      </c>
      <c r="P12" t="s">
        <v>41</v>
      </c>
      <c r="Q12" t="s">
        <v>41</v>
      </c>
      <c r="R12" t="s">
        <v>41</v>
      </c>
      <c r="S12" t="s">
        <v>41</v>
      </c>
      <c r="T12">
        <v>0</v>
      </c>
      <c r="U12" t="s">
        <v>42</v>
      </c>
      <c r="V12">
        <v>1</v>
      </c>
      <c r="W12" t="s">
        <v>43</v>
      </c>
      <c r="X12" t="s">
        <v>41</v>
      </c>
      <c r="Y12" t="s">
        <v>41</v>
      </c>
      <c r="Z12" t="s">
        <v>41</v>
      </c>
      <c r="AA12">
        <v>5.45</v>
      </c>
      <c r="AB12">
        <v>2.5499999999999998</v>
      </c>
      <c r="AC12">
        <v>19.3079</v>
      </c>
      <c r="AD12">
        <v>39</v>
      </c>
      <c r="AE12" t="s">
        <v>512</v>
      </c>
      <c r="AF12">
        <v>12</v>
      </c>
      <c r="AG12" t="s">
        <v>517</v>
      </c>
      <c r="AH12" t="str">
        <f t="shared" si="0"/>
        <v>chr1_185958690_C_A</v>
      </c>
      <c r="AI12" s="2" t="str">
        <f>IF(ISNUMBER(MATCH(AH12,'3347_FINAL'!$AH:$AH,0)),"YES","NO")</f>
        <v>NO</v>
      </c>
    </row>
    <row r="13" spans="1:35" x14ac:dyDescent="0.2">
      <c r="A13" t="s">
        <v>33</v>
      </c>
      <c r="B13">
        <v>196712649</v>
      </c>
      <c r="C13">
        <v>196712649</v>
      </c>
      <c r="D13" t="s">
        <v>35</v>
      </c>
      <c r="E13" t="s">
        <v>43</v>
      </c>
      <c r="F13" t="s">
        <v>36</v>
      </c>
      <c r="G13" t="s">
        <v>487</v>
      </c>
      <c r="H13" t="s">
        <v>38</v>
      </c>
      <c r="I13" t="s">
        <v>486</v>
      </c>
      <c r="K13" t="s">
        <v>485</v>
      </c>
      <c r="O13">
        <v>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>
        <v>1</v>
      </c>
      <c r="W13" t="s">
        <v>43</v>
      </c>
      <c r="X13" t="s">
        <v>41</v>
      </c>
      <c r="Y13" t="s">
        <v>41</v>
      </c>
      <c r="Z13" t="s">
        <v>41</v>
      </c>
      <c r="AA13">
        <v>-8.2400000000000001E-2</v>
      </c>
      <c r="AB13">
        <v>1.7999999999999999E-2</v>
      </c>
      <c r="AC13">
        <v>7.6142000000000003</v>
      </c>
      <c r="AD13">
        <v>34</v>
      </c>
      <c r="AE13" s="5" t="s">
        <v>521</v>
      </c>
      <c r="AF13">
        <v>2</v>
      </c>
      <c r="AG13" t="s">
        <v>44</v>
      </c>
      <c r="AH13" t="str">
        <f t="shared" si="0"/>
        <v>chr1_196712649_T_A</v>
      </c>
      <c r="AI13" s="2" t="str">
        <f>IF(ISNUMBER(MATCH(AH13,'3347_FINAL'!$AH:$AH,0)),"YES","NO")</f>
        <v>NO</v>
      </c>
    </row>
    <row r="14" spans="1:35" x14ac:dyDescent="0.2">
      <c r="A14" t="s">
        <v>33</v>
      </c>
      <c r="B14">
        <v>211847722</v>
      </c>
      <c r="C14">
        <v>211847722</v>
      </c>
      <c r="D14" t="s">
        <v>34</v>
      </c>
      <c r="E14" t="s">
        <v>35</v>
      </c>
      <c r="F14" t="s">
        <v>36</v>
      </c>
      <c r="G14" t="s">
        <v>484</v>
      </c>
      <c r="H14" t="s">
        <v>47</v>
      </c>
      <c r="I14" t="s">
        <v>483</v>
      </c>
      <c r="J14" t="s">
        <v>197</v>
      </c>
      <c r="O14">
        <v>0.19</v>
      </c>
      <c r="P14">
        <v>0.998</v>
      </c>
      <c r="Q14" t="s">
        <v>42</v>
      </c>
      <c r="R14">
        <v>0.90600000000000003</v>
      </c>
      <c r="S14" t="s">
        <v>117</v>
      </c>
      <c r="T14">
        <v>0</v>
      </c>
      <c r="U14" t="s">
        <v>42</v>
      </c>
      <c r="V14">
        <v>0.999691</v>
      </c>
      <c r="W14" t="s">
        <v>42</v>
      </c>
      <c r="X14">
        <v>5.5E-2</v>
      </c>
      <c r="Y14" t="s">
        <v>482</v>
      </c>
      <c r="Z14">
        <v>1.1200000000000001</v>
      </c>
      <c r="AA14">
        <v>4.41</v>
      </c>
      <c r="AB14">
        <v>2.153</v>
      </c>
      <c r="AC14">
        <v>17.387499999999999</v>
      </c>
      <c r="AD14">
        <v>34</v>
      </c>
      <c r="AE14" t="s">
        <v>512</v>
      </c>
      <c r="AF14">
        <v>13</v>
      </c>
      <c r="AG14" t="s">
        <v>517</v>
      </c>
      <c r="AH14" t="str">
        <f t="shared" si="0"/>
        <v>chr1_211847722_C_T</v>
      </c>
      <c r="AI14" s="2" t="str">
        <f>IF(ISNUMBER(MATCH(AH14,'3347_FINAL'!$AH:$AH,0)),"YES","NO")</f>
        <v>NO</v>
      </c>
    </row>
    <row r="15" spans="1:35" x14ac:dyDescent="0.2">
      <c r="A15" t="s">
        <v>33</v>
      </c>
      <c r="B15">
        <v>215812521</v>
      </c>
      <c r="C15">
        <v>215812521</v>
      </c>
      <c r="D15" t="s">
        <v>45</v>
      </c>
      <c r="E15" t="s">
        <v>43</v>
      </c>
      <c r="F15" t="s">
        <v>36</v>
      </c>
      <c r="G15" t="s">
        <v>481</v>
      </c>
      <c r="H15" t="s">
        <v>38</v>
      </c>
      <c r="I15" t="s">
        <v>480</v>
      </c>
      <c r="J15" t="s">
        <v>479</v>
      </c>
      <c r="O15">
        <v>0.99</v>
      </c>
      <c r="P15" t="s">
        <v>41</v>
      </c>
      <c r="Q15" t="s">
        <v>41</v>
      </c>
      <c r="R15" t="s">
        <v>41</v>
      </c>
      <c r="S15" t="s">
        <v>41</v>
      </c>
      <c r="T15">
        <v>3.5248000000000002E-2</v>
      </c>
      <c r="U15" t="s">
        <v>274</v>
      </c>
      <c r="V15">
        <v>1</v>
      </c>
      <c r="W15" t="s">
        <v>43</v>
      </c>
      <c r="X15" t="s">
        <v>41</v>
      </c>
      <c r="Y15" t="s">
        <v>41</v>
      </c>
      <c r="Z15" t="s">
        <v>41</v>
      </c>
      <c r="AA15">
        <v>4.2300000000000004</v>
      </c>
      <c r="AB15">
        <v>2.4119999999999999</v>
      </c>
      <c r="AC15">
        <v>8.0029000000000003</v>
      </c>
      <c r="AD15">
        <v>40</v>
      </c>
      <c r="AE15" t="s">
        <v>512</v>
      </c>
      <c r="AF15">
        <v>16</v>
      </c>
      <c r="AG15" t="s">
        <v>517</v>
      </c>
      <c r="AH15" t="str">
        <f t="shared" si="0"/>
        <v>chr1_215812521_G_A</v>
      </c>
      <c r="AI15" s="2" t="str">
        <f>IF(ISNUMBER(MATCH(AH15,'3347_FINAL'!$AH:$AH,0)),"YES","NO")</f>
        <v>NO</v>
      </c>
    </row>
    <row r="16" spans="1:35" x14ac:dyDescent="0.2">
      <c r="A16" t="s">
        <v>67</v>
      </c>
      <c r="B16">
        <v>27275780</v>
      </c>
      <c r="C16">
        <v>27275780</v>
      </c>
      <c r="D16" t="s">
        <v>45</v>
      </c>
      <c r="E16" t="s">
        <v>43</v>
      </c>
      <c r="F16" t="s">
        <v>478</v>
      </c>
      <c r="G16" t="s">
        <v>476</v>
      </c>
      <c r="J16" t="s">
        <v>477</v>
      </c>
      <c r="AD16">
        <v>35</v>
      </c>
      <c r="AE16" t="s">
        <v>512</v>
      </c>
      <c r="AF16">
        <v>5</v>
      </c>
      <c r="AG16" t="s">
        <v>517</v>
      </c>
      <c r="AH16" t="str">
        <f t="shared" si="0"/>
        <v>chr2_27275780_G_A</v>
      </c>
      <c r="AI16" s="2" t="str">
        <f>IF(ISNUMBER(MATCH(AH16,'3347_FINAL'!$AH:$AH,0)),"YES","NO")</f>
        <v>NO</v>
      </c>
    </row>
    <row r="17" spans="1:35" x14ac:dyDescent="0.2">
      <c r="A17" t="s">
        <v>67</v>
      </c>
      <c r="B17">
        <v>27280242</v>
      </c>
      <c r="C17">
        <v>27280242</v>
      </c>
      <c r="D17" t="s">
        <v>45</v>
      </c>
      <c r="E17" t="s">
        <v>43</v>
      </c>
      <c r="F17" t="s">
        <v>36</v>
      </c>
      <c r="G17" t="s">
        <v>476</v>
      </c>
      <c r="H17" t="s">
        <v>47</v>
      </c>
      <c r="I17" t="s">
        <v>475</v>
      </c>
      <c r="J17" t="s">
        <v>474</v>
      </c>
      <c r="O17">
        <v>0.1</v>
      </c>
      <c r="P17">
        <v>1</v>
      </c>
      <c r="Q17" t="s">
        <v>42</v>
      </c>
      <c r="R17">
        <v>1</v>
      </c>
      <c r="S17" t="s">
        <v>42</v>
      </c>
      <c r="T17">
        <v>0</v>
      </c>
      <c r="U17" t="s">
        <v>42</v>
      </c>
      <c r="V17">
        <v>0.98160099999999995</v>
      </c>
      <c r="W17" t="s">
        <v>42</v>
      </c>
      <c r="X17">
        <v>1.98</v>
      </c>
      <c r="Y17" t="s">
        <v>50</v>
      </c>
      <c r="Z17">
        <v>1.98</v>
      </c>
      <c r="AA17">
        <v>6.16</v>
      </c>
      <c r="AB17">
        <v>2.9369999999999998</v>
      </c>
      <c r="AC17">
        <v>20.454899999999999</v>
      </c>
      <c r="AD17">
        <v>31</v>
      </c>
      <c r="AE17" t="s">
        <v>512</v>
      </c>
      <c r="AF17">
        <v>8</v>
      </c>
      <c r="AG17" t="s">
        <v>517</v>
      </c>
      <c r="AH17" t="str">
        <f t="shared" si="0"/>
        <v>chr2_27280242_G_A</v>
      </c>
      <c r="AI17" s="2" t="str">
        <f>IF(ISNUMBER(MATCH(AH17,'3347_FINAL'!$AH:$AH,0)),"YES","NO")</f>
        <v>NO</v>
      </c>
    </row>
    <row r="18" spans="1:35" x14ac:dyDescent="0.2">
      <c r="A18" t="s">
        <v>67</v>
      </c>
      <c r="B18">
        <v>56145033</v>
      </c>
      <c r="C18">
        <v>56145033</v>
      </c>
      <c r="D18" t="s">
        <v>45</v>
      </c>
      <c r="E18" t="s">
        <v>35</v>
      </c>
      <c r="F18" t="s">
        <v>36</v>
      </c>
      <c r="G18" t="s">
        <v>473</v>
      </c>
      <c r="H18" t="s">
        <v>38</v>
      </c>
      <c r="I18" t="s">
        <v>472</v>
      </c>
      <c r="O18">
        <v>0.79</v>
      </c>
      <c r="P18" t="s">
        <v>41</v>
      </c>
      <c r="Q18" t="s">
        <v>41</v>
      </c>
      <c r="R18" t="s">
        <v>41</v>
      </c>
      <c r="S18" t="s">
        <v>41</v>
      </c>
      <c r="T18">
        <v>0.16614699999999999</v>
      </c>
      <c r="U18" t="s">
        <v>73</v>
      </c>
      <c r="V18">
        <v>1</v>
      </c>
      <c r="W18" t="s">
        <v>43</v>
      </c>
      <c r="X18" t="s">
        <v>41</v>
      </c>
      <c r="Y18" t="s">
        <v>41</v>
      </c>
      <c r="Z18" t="s">
        <v>41</v>
      </c>
      <c r="AA18">
        <v>4.08</v>
      </c>
      <c r="AB18">
        <v>0.83399999999999996</v>
      </c>
      <c r="AC18">
        <v>11.5657</v>
      </c>
      <c r="AD18">
        <v>34</v>
      </c>
      <c r="AE18" t="s">
        <v>512</v>
      </c>
      <c r="AF18">
        <v>9</v>
      </c>
      <c r="AG18" t="s">
        <v>517</v>
      </c>
      <c r="AH18" t="str">
        <f t="shared" si="0"/>
        <v>chr2_56145033_G_T</v>
      </c>
      <c r="AI18" s="2" t="str">
        <f>IF(ISNUMBER(MATCH(AH18,'3347_FINAL'!$AH:$AH,0)),"YES","NO")</f>
        <v>NO</v>
      </c>
    </row>
    <row r="19" spans="1:35" x14ac:dyDescent="0.2">
      <c r="A19" t="s">
        <v>67</v>
      </c>
      <c r="B19">
        <v>73777486</v>
      </c>
      <c r="C19">
        <v>73777486</v>
      </c>
      <c r="D19" t="s">
        <v>45</v>
      </c>
      <c r="E19" t="s">
        <v>35</v>
      </c>
      <c r="F19" t="s">
        <v>36</v>
      </c>
      <c r="G19" t="s">
        <v>71</v>
      </c>
      <c r="H19" t="s">
        <v>38</v>
      </c>
      <c r="I19" t="s">
        <v>471</v>
      </c>
      <c r="J19" t="s">
        <v>470</v>
      </c>
      <c r="O19">
        <v>0</v>
      </c>
      <c r="P19" t="s">
        <v>41</v>
      </c>
      <c r="Q19" t="s">
        <v>41</v>
      </c>
      <c r="R19" t="s">
        <v>41</v>
      </c>
      <c r="S19" t="s">
        <v>41</v>
      </c>
      <c r="T19">
        <v>1.25E-4</v>
      </c>
      <c r="U19" t="s">
        <v>42</v>
      </c>
      <c r="V19">
        <v>1</v>
      </c>
      <c r="W19" t="s">
        <v>43</v>
      </c>
      <c r="X19" t="s">
        <v>41</v>
      </c>
      <c r="Y19" t="s">
        <v>41</v>
      </c>
      <c r="Z19" t="s">
        <v>41</v>
      </c>
      <c r="AA19">
        <v>5.83</v>
      </c>
      <c r="AB19">
        <v>2.762</v>
      </c>
      <c r="AC19">
        <v>15.604799999999999</v>
      </c>
      <c r="AD19">
        <v>46</v>
      </c>
      <c r="AE19" t="s">
        <v>512</v>
      </c>
      <c r="AF19">
        <v>15</v>
      </c>
      <c r="AG19" t="s">
        <v>517</v>
      </c>
      <c r="AH19" t="str">
        <f t="shared" si="0"/>
        <v>chr2_73777486_G_T</v>
      </c>
      <c r="AI19" s="2" t="str">
        <f>IF(ISNUMBER(MATCH(AH19,'3347_FINAL'!$AH:$AH,0)),"YES","NO")</f>
        <v>NO</v>
      </c>
    </row>
    <row r="20" spans="1:35" x14ac:dyDescent="0.2">
      <c r="A20" t="s">
        <v>67</v>
      </c>
      <c r="B20">
        <v>73799895</v>
      </c>
      <c r="C20">
        <v>73799895</v>
      </c>
      <c r="D20" t="s">
        <v>34</v>
      </c>
      <c r="E20" t="s">
        <v>35</v>
      </c>
      <c r="F20" t="s">
        <v>36</v>
      </c>
      <c r="G20" t="s">
        <v>71</v>
      </c>
      <c r="H20" t="s">
        <v>47</v>
      </c>
      <c r="I20" t="s">
        <v>469</v>
      </c>
      <c r="J20" t="s">
        <v>468</v>
      </c>
      <c r="O20">
        <v>0</v>
      </c>
      <c r="P20">
        <v>1</v>
      </c>
      <c r="Q20" t="s">
        <v>42</v>
      </c>
      <c r="R20">
        <v>0.998</v>
      </c>
      <c r="S20" t="s">
        <v>42</v>
      </c>
      <c r="T20">
        <v>2.8200000000000002E-4</v>
      </c>
      <c r="U20" t="s">
        <v>42</v>
      </c>
      <c r="V20">
        <v>0.30620900000000001</v>
      </c>
      <c r="W20" t="s">
        <v>73</v>
      </c>
      <c r="X20">
        <v>1.4450000000000001</v>
      </c>
      <c r="Y20" t="s">
        <v>206</v>
      </c>
      <c r="Z20">
        <v>2.17</v>
      </c>
      <c r="AA20">
        <v>5.48</v>
      </c>
      <c r="AB20">
        <v>2.5880000000000001</v>
      </c>
      <c r="AC20">
        <v>16.8459</v>
      </c>
      <c r="AD20">
        <v>32</v>
      </c>
      <c r="AE20" t="s">
        <v>512</v>
      </c>
      <c r="AF20">
        <v>7</v>
      </c>
      <c r="AG20" t="s">
        <v>517</v>
      </c>
      <c r="AH20" t="str">
        <f t="shared" si="0"/>
        <v>chr2_73799895_C_T</v>
      </c>
      <c r="AI20" s="2" t="str">
        <f>IF(ISNUMBER(MATCH(AH20,'3347_FINAL'!$AH:$AH,0)),"YES","NO")</f>
        <v>NO</v>
      </c>
    </row>
    <row r="21" spans="1:35" x14ac:dyDescent="0.2">
      <c r="A21" t="s">
        <v>67</v>
      </c>
      <c r="B21">
        <v>96944370</v>
      </c>
      <c r="C21">
        <v>96944370</v>
      </c>
      <c r="D21" t="s">
        <v>45</v>
      </c>
      <c r="E21" t="s">
        <v>35</v>
      </c>
      <c r="F21" t="s">
        <v>36</v>
      </c>
      <c r="G21" t="s">
        <v>74</v>
      </c>
      <c r="H21" t="s">
        <v>38</v>
      </c>
      <c r="I21" t="s">
        <v>467</v>
      </c>
      <c r="J21" t="s">
        <v>466</v>
      </c>
      <c r="O21">
        <v>1</v>
      </c>
      <c r="P21" t="s">
        <v>41</v>
      </c>
      <c r="Q21" t="s">
        <v>41</v>
      </c>
      <c r="R21" t="s">
        <v>41</v>
      </c>
      <c r="S21" t="s">
        <v>41</v>
      </c>
      <c r="T21">
        <v>0</v>
      </c>
      <c r="U21" t="s">
        <v>42</v>
      </c>
      <c r="V21">
        <v>1</v>
      </c>
      <c r="W21" t="s">
        <v>43</v>
      </c>
      <c r="X21" t="s">
        <v>41</v>
      </c>
      <c r="Y21" t="s">
        <v>41</v>
      </c>
      <c r="Z21" t="s">
        <v>41</v>
      </c>
      <c r="AA21">
        <v>1.93</v>
      </c>
      <c r="AB21">
        <v>0.45300000000000001</v>
      </c>
      <c r="AC21">
        <v>10.9518</v>
      </c>
      <c r="AD21">
        <v>36</v>
      </c>
      <c r="AE21" t="s">
        <v>512</v>
      </c>
      <c r="AF21">
        <v>8</v>
      </c>
      <c r="AG21" t="s">
        <v>517</v>
      </c>
      <c r="AH21" t="str">
        <f t="shared" si="0"/>
        <v>chr2_96944370_G_T</v>
      </c>
      <c r="AI21" s="2" t="str">
        <f>IF(ISNUMBER(MATCH(AH21,'3347_FINAL'!$AH:$AH,0)),"YES","NO")</f>
        <v>NO</v>
      </c>
    </row>
    <row r="22" spans="1:35" x14ac:dyDescent="0.2">
      <c r="A22" t="s">
        <v>67</v>
      </c>
      <c r="B22">
        <v>110901146</v>
      </c>
      <c r="C22">
        <v>110901146</v>
      </c>
      <c r="D22" t="s">
        <v>43</v>
      </c>
      <c r="E22" t="s">
        <v>35</v>
      </c>
      <c r="F22" t="s">
        <v>36</v>
      </c>
      <c r="G22" t="s">
        <v>465</v>
      </c>
      <c r="H22" t="s">
        <v>38</v>
      </c>
      <c r="I22" t="s">
        <v>464</v>
      </c>
      <c r="J22" t="s">
        <v>463</v>
      </c>
      <c r="O22">
        <v>1</v>
      </c>
      <c r="P22" t="s">
        <v>41</v>
      </c>
      <c r="Q22" t="s">
        <v>41</v>
      </c>
      <c r="R22" t="s">
        <v>41</v>
      </c>
      <c r="S22" t="s">
        <v>41</v>
      </c>
      <c r="T22">
        <v>7.1760000000000001E-3</v>
      </c>
      <c r="U22" t="s">
        <v>73</v>
      </c>
      <c r="V22">
        <v>1</v>
      </c>
      <c r="W22" t="s">
        <v>43</v>
      </c>
      <c r="X22" t="s">
        <v>41</v>
      </c>
      <c r="Y22" t="s">
        <v>41</v>
      </c>
      <c r="Z22" t="s">
        <v>41</v>
      </c>
      <c r="AA22">
        <v>4.9000000000000004</v>
      </c>
      <c r="AB22">
        <v>1.107</v>
      </c>
      <c r="AC22">
        <v>10.507899999999999</v>
      </c>
      <c r="AD22">
        <v>37</v>
      </c>
      <c r="AE22" t="s">
        <v>512</v>
      </c>
      <c r="AF22">
        <v>22</v>
      </c>
      <c r="AG22" t="s">
        <v>517</v>
      </c>
      <c r="AH22" t="str">
        <f t="shared" si="0"/>
        <v>chr2_110901146_A_T</v>
      </c>
      <c r="AI22" s="2" t="str">
        <f>IF(ISNUMBER(MATCH(AH22,'3347_FINAL'!$AH:$AH,0)),"YES","NO")</f>
        <v>NO</v>
      </c>
    </row>
    <row r="23" spans="1:35" x14ac:dyDescent="0.2">
      <c r="A23" t="s">
        <v>85</v>
      </c>
      <c r="B23">
        <v>3189232</v>
      </c>
      <c r="C23">
        <v>3189232</v>
      </c>
      <c r="D23" t="s">
        <v>43</v>
      </c>
      <c r="E23" t="s">
        <v>35</v>
      </c>
      <c r="F23" t="s">
        <v>36</v>
      </c>
      <c r="G23" t="s">
        <v>462</v>
      </c>
      <c r="H23" t="s">
        <v>38</v>
      </c>
      <c r="I23" t="s">
        <v>461</v>
      </c>
      <c r="J23" t="s">
        <v>460</v>
      </c>
      <c r="O23">
        <v>1</v>
      </c>
      <c r="P23" t="s">
        <v>41</v>
      </c>
      <c r="Q23" t="s">
        <v>41</v>
      </c>
      <c r="R23" t="s">
        <v>41</v>
      </c>
      <c r="S23" t="s">
        <v>41</v>
      </c>
      <c r="T23">
        <v>1.1540999999999999E-2</v>
      </c>
      <c r="U23" t="s">
        <v>73</v>
      </c>
      <c r="V23">
        <v>1</v>
      </c>
      <c r="W23" t="s">
        <v>43</v>
      </c>
      <c r="X23" t="s">
        <v>41</v>
      </c>
      <c r="Y23" t="s">
        <v>41</v>
      </c>
      <c r="Z23" t="s">
        <v>41</v>
      </c>
      <c r="AA23">
        <v>5.64</v>
      </c>
      <c r="AB23">
        <v>2.1549999999999998</v>
      </c>
      <c r="AC23">
        <v>10.745200000000001</v>
      </c>
      <c r="AD23">
        <v>43</v>
      </c>
      <c r="AE23" t="s">
        <v>512</v>
      </c>
      <c r="AF23">
        <v>8</v>
      </c>
      <c r="AG23" t="s">
        <v>517</v>
      </c>
      <c r="AH23" t="str">
        <f t="shared" si="0"/>
        <v>chr3_3189232_A_T</v>
      </c>
      <c r="AI23" s="2" t="str">
        <f>IF(ISNUMBER(MATCH(AH23,'3347_FINAL'!$AH:$AH,0)),"YES","NO")</f>
        <v>NO</v>
      </c>
    </row>
    <row r="24" spans="1:35" x14ac:dyDescent="0.2">
      <c r="A24" t="s">
        <v>85</v>
      </c>
      <c r="B24">
        <v>27439683</v>
      </c>
      <c r="C24">
        <v>27439683</v>
      </c>
      <c r="D24" t="s">
        <v>34</v>
      </c>
      <c r="E24" t="s">
        <v>45</v>
      </c>
      <c r="F24" t="s">
        <v>36</v>
      </c>
      <c r="G24" t="s">
        <v>90</v>
      </c>
      <c r="H24" t="s">
        <v>47</v>
      </c>
      <c r="I24" t="s">
        <v>459</v>
      </c>
      <c r="J24" t="s">
        <v>458</v>
      </c>
      <c r="O24">
        <v>0.23</v>
      </c>
      <c r="P24">
        <v>0.99099999999999999</v>
      </c>
      <c r="Q24" t="s">
        <v>42</v>
      </c>
      <c r="R24">
        <v>0.96799999999999997</v>
      </c>
      <c r="S24" t="s">
        <v>42</v>
      </c>
      <c r="T24">
        <v>0</v>
      </c>
      <c r="U24" t="s">
        <v>42</v>
      </c>
      <c r="V24">
        <v>0.96168600000000004</v>
      </c>
      <c r="W24" t="s">
        <v>42</v>
      </c>
      <c r="X24">
        <v>2.125</v>
      </c>
      <c r="Y24" t="s">
        <v>50</v>
      </c>
      <c r="Z24">
        <v>-2.13</v>
      </c>
      <c r="AA24">
        <v>5.56</v>
      </c>
      <c r="AB24">
        <v>2.6150000000000002</v>
      </c>
      <c r="AC24">
        <v>19.5319</v>
      </c>
      <c r="AD24">
        <v>36</v>
      </c>
      <c r="AE24" t="s">
        <v>512</v>
      </c>
      <c r="AF24">
        <v>14</v>
      </c>
      <c r="AG24" t="s">
        <v>517</v>
      </c>
      <c r="AH24" t="str">
        <f t="shared" si="0"/>
        <v>chr3_27439683_C_G</v>
      </c>
      <c r="AI24" s="2" t="str">
        <f>IF(ISNUMBER(MATCH(AH24,'3347_FINAL'!$AH:$AH,0)),"YES","NO")</f>
        <v>NO</v>
      </c>
    </row>
    <row r="25" spans="1:35" x14ac:dyDescent="0.2">
      <c r="A25" t="s">
        <v>85</v>
      </c>
      <c r="B25">
        <v>121509037</v>
      </c>
      <c r="C25">
        <v>121509037</v>
      </c>
      <c r="D25" t="s">
        <v>34</v>
      </c>
      <c r="E25" t="s">
        <v>43</v>
      </c>
      <c r="F25" t="s">
        <v>36</v>
      </c>
      <c r="G25" t="s">
        <v>100</v>
      </c>
      <c r="H25" t="s">
        <v>38</v>
      </c>
      <c r="I25" t="s">
        <v>457</v>
      </c>
      <c r="O25">
        <v>0.74</v>
      </c>
      <c r="P25" t="s">
        <v>41</v>
      </c>
      <c r="Q25" t="s">
        <v>41</v>
      </c>
      <c r="R25" t="s">
        <v>41</v>
      </c>
      <c r="S25" t="s">
        <v>41</v>
      </c>
      <c r="T25">
        <v>7.0419999999999996E-2</v>
      </c>
      <c r="U25" t="s">
        <v>73</v>
      </c>
      <c r="V25">
        <v>1</v>
      </c>
      <c r="W25" t="s">
        <v>43</v>
      </c>
      <c r="X25" t="s">
        <v>41</v>
      </c>
      <c r="Y25" t="s">
        <v>41</v>
      </c>
      <c r="Z25" t="s">
        <v>41</v>
      </c>
      <c r="AA25">
        <v>-0.42499999999999999</v>
      </c>
      <c r="AB25">
        <v>-0.13900000000000001</v>
      </c>
      <c r="AC25">
        <v>4.2474999999999996</v>
      </c>
      <c r="AD25">
        <v>31</v>
      </c>
      <c r="AE25" t="s">
        <v>512</v>
      </c>
      <c r="AF25">
        <v>16</v>
      </c>
      <c r="AG25" t="s">
        <v>517</v>
      </c>
      <c r="AH25" t="str">
        <f t="shared" si="0"/>
        <v>chr3_121509037_C_A</v>
      </c>
      <c r="AI25" s="2" t="str">
        <f>IF(ISNUMBER(MATCH(AH25,'3347_FINAL'!$AH:$AH,0)),"YES","NO")</f>
        <v>NO</v>
      </c>
    </row>
    <row r="26" spans="1:35" x14ac:dyDescent="0.2">
      <c r="A26" t="s">
        <v>85</v>
      </c>
      <c r="B26">
        <v>170219056</v>
      </c>
      <c r="C26">
        <v>170219056</v>
      </c>
      <c r="D26" t="s">
        <v>34</v>
      </c>
      <c r="E26" t="s">
        <v>35</v>
      </c>
      <c r="F26" t="s">
        <v>36</v>
      </c>
      <c r="G26" t="s">
        <v>456</v>
      </c>
      <c r="H26" t="s">
        <v>47</v>
      </c>
      <c r="I26" t="s">
        <v>455</v>
      </c>
      <c r="J26" t="s">
        <v>454</v>
      </c>
      <c r="O26">
        <v>0</v>
      </c>
      <c r="P26">
        <v>1</v>
      </c>
      <c r="Q26" t="s">
        <v>42</v>
      </c>
      <c r="R26">
        <v>1</v>
      </c>
      <c r="S26" t="s">
        <v>42</v>
      </c>
      <c r="T26">
        <v>0</v>
      </c>
      <c r="U26" t="s">
        <v>42</v>
      </c>
      <c r="V26">
        <v>0.99985199999999996</v>
      </c>
      <c r="W26" t="s">
        <v>42</v>
      </c>
      <c r="X26">
        <v>4.3049999999999997</v>
      </c>
      <c r="Y26" t="s">
        <v>52</v>
      </c>
      <c r="Z26">
        <v>-2.69</v>
      </c>
      <c r="AA26">
        <v>5.46</v>
      </c>
      <c r="AB26">
        <v>2.7149999999999999</v>
      </c>
      <c r="AC26">
        <v>19.660799999999998</v>
      </c>
      <c r="AD26">
        <v>31</v>
      </c>
      <c r="AE26" t="s">
        <v>512</v>
      </c>
      <c r="AF26">
        <v>11</v>
      </c>
      <c r="AG26" t="s">
        <v>517</v>
      </c>
      <c r="AH26" t="str">
        <f t="shared" si="0"/>
        <v>chr3_170219056_C_T</v>
      </c>
      <c r="AI26" s="2" t="str">
        <f>IF(ISNUMBER(MATCH(AH26,'3347_FINAL'!$AH:$AH,0)),"YES","NO")</f>
        <v>NO</v>
      </c>
    </row>
    <row r="27" spans="1:35" x14ac:dyDescent="0.2">
      <c r="A27" t="s">
        <v>119</v>
      </c>
      <c r="B27">
        <v>15504111</v>
      </c>
      <c r="C27">
        <v>15504111</v>
      </c>
      <c r="D27" t="s">
        <v>34</v>
      </c>
      <c r="E27" t="s">
        <v>35</v>
      </c>
      <c r="F27" t="s">
        <v>36</v>
      </c>
      <c r="G27" t="s">
        <v>120</v>
      </c>
      <c r="H27" t="s">
        <v>47</v>
      </c>
      <c r="I27" t="s">
        <v>453</v>
      </c>
      <c r="J27" t="s">
        <v>452</v>
      </c>
      <c r="O27">
        <v>0</v>
      </c>
      <c r="P27">
        <v>1</v>
      </c>
      <c r="Q27" t="s">
        <v>42</v>
      </c>
      <c r="R27">
        <v>1</v>
      </c>
      <c r="S27" t="s">
        <v>42</v>
      </c>
      <c r="T27">
        <v>1.4E-5</v>
      </c>
      <c r="U27" t="s">
        <v>42</v>
      </c>
      <c r="V27">
        <v>0.998054</v>
      </c>
      <c r="W27" t="s">
        <v>42</v>
      </c>
      <c r="X27">
        <v>2.3199999999999998</v>
      </c>
      <c r="Y27" t="s">
        <v>50</v>
      </c>
      <c r="Z27">
        <v>-1.1200000000000001</v>
      </c>
      <c r="AA27">
        <v>4.6399999999999997</v>
      </c>
      <c r="AB27">
        <v>2.6160000000000001</v>
      </c>
      <c r="AC27">
        <v>14.3659</v>
      </c>
      <c r="AD27">
        <v>32</v>
      </c>
      <c r="AE27" t="s">
        <v>512</v>
      </c>
      <c r="AF27">
        <v>6</v>
      </c>
      <c r="AG27" t="s">
        <v>517</v>
      </c>
      <c r="AH27" t="str">
        <f t="shared" si="0"/>
        <v>chr4_15504111_C_T</v>
      </c>
      <c r="AI27" s="2" t="str">
        <f>IF(ISNUMBER(MATCH(AH27,'3347_FINAL'!$AH:$AH,0)),"YES","NO")</f>
        <v>NO</v>
      </c>
    </row>
    <row r="28" spans="1:35" x14ac:dyDescent="0.2">
      <c r="A28" t="s">
        <v>119</v>
      </c>
      <c r="B28">
        <v>110790980</v>
      </c>
      <c r="C28">
        <v>110790980</v>
      </c>
      <c r="D28" t="s">
        <v>45</v>
      </c>
      <c r="E28" t="s">
        <v>35</v>
      </c>
      <c r="F28" t="s">
        <v>36</v>
      </c>
      <c r="G28" t="s">
        <v>451</v>
      </c>
      <c r="H28" t="s">
        <v>47</v>
      </c>
      <c r="I28" t="s">
        <v>450</v>
      </c>
      <c r="O28">
        <v>0.82</v>
      </c>
      <c r="P28" t="s">
        <v>41</v>
      </c>
      <c r="Q28" t="s">
        <v>41</v>
      </c>
      <c r="R28" t="s">
        <v>41</v>
      </c>
      <c r="S28" t="s">
        <v>41</v>
      </c>
      <c r="T28">
        <v>0.83223199999999997</v>
      </c>
      <c r="U28" t="s">
        <v>73</v>
      </c>
      <c r="V28">
        <v>1</v>
      </c>
      <c r="W28" t="s">
        <v>42</v>
      </c>
      <c r="X28" t="s">
        <v>41</v>
      </c>
      <c r="Y28" t="s">
        <v>41</v>
      </c>
      <c r="Z28" t="s">
        <v>41</v>
      </c>
      <c r="AA28">
        <v>4.6399999999999997</v>
      </c>
      <c r="AB28">
        <v>2.1160000000000001</v>
      </c>
      <c r="AC28">
        <v>17.528099999999998</v>
      </c>
      <c r="AD28">
        <v>35</v>
      </c>
      <c r="AE28" t="s">
        <v>512</v>
      </c>
      <c r="AF28">
        <v>11</v>
      </c>
      <c r="AG28" t="s">
        <v>517</v>
      </c>
      <c r="AH28" t="str">
        <f t="shared" si="0"/>
        <v>chr4_110790980_G_T</v>
      </c>
      <c r="AI28" s="2" t="str">
        <f>IF(ISNUMBER(MATCH(AH28,'3347_FINAL'!$AH:$AH,0)),"YES","NO")</f>
        <v>NO</v>
      </c>
    </row>
    <row r="29" spans="1:35" s="3" customFormat="1" x14ac:dyDescent="0.2">
      <c r="A29" s="3" t="s">
        <v>123</v>
      </c>
      <c r="B29" s="3">
        <v>38458465</v>
      </c>
      <c r="C29" s="3">
        <v>38458465</v>
      </c>
      <c r="D29" s="3" t="s">
        <v>45</v>
      </c>
      <c r="E29" s="3" t="s">
        <v>43</v>
      </c>
      <c r="F29" s="3" t="s">
        <v>36</v>
      </c>
      <c r="G29" s="3" t="s">
        <v>124</v>
      </c>
      <c r="H29" s="3" t="s">
        <v>47</v>
      </c>
      <c r="I29" s="3" t="s">
        <v>125</v>
      </c>
      <c r="J29" s="3" t="s">
        <v>126</v>
      </c>
      <c r="L29" s="3">
        <v>3.0800000000000001E-4</v>
      </c>
      <c r="N29" s="3" t="s">
        <v>127</v>
      </c>
      <c r="O29" s="3">
        <v>0.06</v>
      </c>
      <c r="P29" s="3">
        <v>1</v>
      </c>
      <c r="Q29" s="3" t="s">
        <v>42</v>
      </c>
      <c r="R29" s="3">
        <v>1</v>
      </c>
      <c r="S29" s="3" t="s">
        <v>42</v>
      </c>
      <c r="T29" s="3">
        <v>0</v>
      </c>
      <c r="U29" s="3" t="s">
        <v>42</v>
      </c>
      <c r="V29" s="3">
        <v>0.99848700000000001</v>
      </c>
      <c r="W29" s="3" t="s">
        <v>42</v>
      </c>
      <c r="X29" s="3">
        <v>2.2850000000000001</v>
      </c>
      <c r="Y29" s="3" t="s">
        <v>50</v>
      </c>
      <c r="Z29" s="3">
        <v>-1.62</v>
      </c>
      <c r="AA29" s="3">
        <v>5.46</v>
      </c>
      <c r="AB29" s="3">
        <v>2.7210000000000001</v>
      </c>
      <c r="AC29" s="3">
        <v>19.660399999999999</v>
      </c>
      <c r="AD29" s="3">
        <v>32</v>
      </c>
      <c r="AE29" s="3" t="s">
        <v>512</v>
      </c>
      <c r="AF29" s="3">
        <v>8</v>
      </c>
      <c r="AG29" s="3" t="s">
        <v>517</v>
      </c>
      <c r="AH29" s="3" t="str">
        <f t="shared" si="0"/>
        <v>chr5_38458465_G_A</v>
      </c>
      <c r="AI29" s="4" t="str">
        <f>IF(ISNUMBER(MATCH(AH29,'3347_FINAL'!$AH:$AH,0)),"YES","NO")</f>
        <v>YES</v>
      </c>
    </row>
    <row r="30" spans="1:35" x14ac:dyDescent="0.2">
      <c r="A30" t="s">
        <v>123</v>
      </c>
      <c r="B30">
        <v>138260348</v>
      </c>
      <c r="C30">
        <v>138260348</v>
      </c>
      <c r="D30" t="s">
        <v>45</v>
      </c>
      <c r="E30" t="s">
        <v>35</v>
      </c>
      <c r="F30" t="s">
        <v>36</v>
      </c>
      <c r="G30" t="s">
        <v>131</v>
      </c>
      <c r="H30" t="s">
        <v>38</v>
      </c>
      <c r="I30" t="s">
        <v>449</v>
      </c>
      <c r="J30" t="s">
        <v>448</v>
      </c>
      <c r="O30">
        <v>0.1</v>
      </c>
      <c r="P30" t="s">
        <v>41</v>
      </c>
      <c r="Q30" t="s">
        <v>41</v>
      </c>
      <c r="R30" t="s">
        <v>41</v>
      </c>
      <c r="S30" t="s">
        <v>41</v>
      </c>
      <c r="T30">
        <v>0</v>
      </c>
      <c r="U30" t="s">
        <v>42</v>
      </c>
      <c r="V30">
        <v>1</v>
      </c>
      <c r="W30" t="s">
        <v>43</v>
      </c>
      <c r="X30" t="s">
        <v>41</v>
      </c>
      <c r="Y30" t="s">
        <v>41</v>
      </c>
      <c r="Z30" t="s">
        <v>41</v>
      </c>
      <c r="AA30">
        <v>5.66</v>
      </c>
      <c r="AB30">
        <v>2.8319999999999999</v>
      </c>
      <c r="AC30">
        <v>19.720300000000002</v>
      </c>
      <c r="AD30">
        <v>42</v>
      </c>
      <c r="AE30" s="6" t="s">
        <v>521</v>
      </c>
      <c r="AF30">
        <v>2</v>
      </c>
      <c r="AG30" t="s">
        <v>44</v>
      </c>
      <c r="AH30" t="str">
        <f t="shared" si="0"/>
        <v>chr5_138260348_G_T</v>
      </c>
      <c r="AI30" s="2" t="str">
        <f>IF(ISNUMBER(MATCH(AH30,'3347_FINAL'!$AH:$AH,0)),"YES","NO")</f>
        <v>NO</v>
      </c>
    </row>
    <row r="31" spans="1:35" x14ac:dyDescent="0.2">
      <c r="A31" t="s">
        <v>142</v>
      </c>
      <c r="B31">
        <v>70978514</v>
      </c>
      <c r="C31">
        <v>70978514</v>
      </c>
      <c r="D31" t="s">
        <v>34</v>
      </c>
      <c r="E31" t="s">
        <v>35</v>
      </c>
      <c r="F31" t="s">
        <v>36</v>
      </c>
      <c r="G31" t="s">
        <v>447</v>
      </c>
      <c r="H31" t="s">
        <v>47</v>
      </c>
      <c r="I31" t="s">
        <v>446</v>
      </c>
      <c r="J31" t="s">
        <v>445</v>
      </c>
      <c r="O31">
        <v>0</v>
      </c>
      <c r="P31">
        <v>1</v>
      </c>
      <c r="Q31" t="s">
        <v>42</v>
      </c>
      <c r="R31">
        <v>0.998</v>
      </c>
      <c r="S31" t="s">
        <v>42</v>
      </c>
      <c r="T31">
        <v>0</v>
      </c>
      <c r="U31" t="s">
        <v>42</v>
      </c>
      <c r="V31">
        <v>0.99936800000000003</v>
      </c>
      <c r="W31" t="s">
        <v>42</v>
      </c>
      <c r="X31">
        <v>4.4349999999999996</v>
      </c>
      <c r="Y31" t="s">
        <v>52</v>
      </c>
      <c r="Z31">
        <v>-5.17</v>
      </c>
      <c r="AA31">
        <v>5.54</v>
      </c>
      <c r="AB31">
        <v>2.5979999999999999</v>
      </c>
      <c r="AC31">
        <v>16.415400000000002</v>
      </c>
      <c r="AD31">
        <v>31</v>
      </c>
      <c r="AE31" s="1" t="s">
        <v>512</v>
      </c>
      <c r="AF31">
        <v>12</v>
      </c>
      <c r="AG31" t="s">
        <v>517</v>
      </c>
      <c r="AH31" t="str">
        <f t="shared" si="0"/>
        <v>chr6_70978514_C_T</v>
      </c>
      <c r="AI31" s="2" t="str">
        <f>IF(ISNUMBER(MATCH(AH31,'3347_FINAL'!$AH:$AH,0)),"YES","NO")</f>
        <v>NO</v>
      </c>
    </row>
    <row r="32" spans="1:35" x14ac:dyDescent="0.2">
      <c r="A32" t="s">
        <v>142</v>
      </c>
      <c r="B32">
        <v>80203467</v>
      </c>
      <c r="C32">
        <v>80203467</v>
      </c>
      <c r="D32" t="s">
        <v>34</v>
      </c>
      <c r="E32" t="s">
        <v>35</v>
      </c>
      <c r="F32" t="s">
        <v>36</v>
      </c>
      <c r="G32" t="s">
        <v>444</v>
      </c>
      <c r="H32" t="s">
        <v>47</v>
      </c>
      <c r="I32" t="s">
        <v>443</v>
      </c>
      <c r="J32" t="s">
        <v>40</v>
      </c>
      <c r="O32">
        <v>0.02</v>
      </c>
      <c r="P32">
        <v>0.73799999999999999</v>
      </c>
      <c r="Q32" t="s">
        <v>117</v>
      </c>
      <c r="R32">
        <v>0.39600000000000002</v>
      </c>
      <c r="S32" t="s">
        <v>223</v>
      </c>
      <c r="T32">
        <v>3.3500000000000001E-4</v>
      </c>
      <c r="U32" t="s">
        <v>42</v>
      </c>
      <c r="V32">
        <v>0.70025199999999999</v>
      </c>
      <c r="W32" t="s">
        <v>42</v>
      </c>
      <c r="X32">
        <v>2.0049999999999999</v>
      </c>
      <c r="Y32" t="s">
        <v>50</v>
      </c>
      <c r="Z32">
        <v>-0.99</v>
      </c>
      <c r="AA32">
        <v>5.42</v>
      </c>
      <c r="AB32">
        <v>2.69</v>
      </c>
      <c r="AC32">
        <v>18.139399999999998</v>
      </c>
      <c r="AD32">
        <v>31</v>
      </c>
      <c r="AE32" t="s">
        <v>512</v>
      </c>
      <c r="AF32">
        <v>19</v>
      </c>
      <c r="AG32" t="s">
        <v>517</v>
      </c>
      <c r="AH32" t="str">
        <f t="shared" si="0"/>
        <v>chr6_80203467_C_T</v>
      </c>
      <c r="AI32" s="2" t="str">
        <f>IF(ISNUMBER(MATCH(AH32,'3347_FINAL'!$AH:$AH,0)),"YES","NO")</f>
        <v>NO</v>
      </c>
    </row>
    <row r="33" spans="1:35" x14ac:dyDescent="0.2">
      <c r="A33" t="s">
        <v>142</v>
      </c>
      <c r="B33">
        <v>99955383</v>
      </c>
      <c r="C33">
        <v>99955383</v>
      </c>
      <c r="D33" t="s">
        <v>45</v>
      </c>
      <c r="E33" t="s">
        <v>43</v>
      </c>
      <c r="F33" t="s">
        <v>36</v>
      </c>
      <c r="G33" t="s">
        <v>442</v>
      </c>
      <c r="H33" t="s">
        <v>38</v>
      </c>
      <c r="I33" t="s">
        <v>441</v>
      </c>
      <c r="J33" t="s">
        <v>440</v>
      </c>
      <c r="O33">
        <v>0.08</v>
      </c>
      <c r="P33" t="s">
        <v>41</v>
      </c>
      <c r="Q33" t="s">
        <v>41</v>
      </c>
      <c r="R33" t="s">
        <v>41</v>
      </c>
      <c r="S33" t="s">
        <v>41</v>
      </c>
      <c r="T33">
        <v>7.9999999999999996E-6</v>
      </c>
      <c r="U33" t="s">
        <v>42</v>
      </c>
      <c r="V33">
        <v>1</v>
      </c>
      <c r="W33" t="s">
        <v>43</v>
      </c>
      <c r="X33" t="s">
        <v>41</v>
      </c>
      <c r="Y33" t="s">
        <v>41</v>
      </c>
      <c r="Z33" t="s">
        <v>41</v>
      </c>
      <c r="AA33">
        <v>5.71</v>
      </c>
      <c r="AB33">
        <v>2.6909999999999998</v>
      </c>
      <c r="AC33">
        <v>19.469799999999999</v>
      </c>
      <c r="AD33">
        <v>38</v>
      </c>
      <c r="AE33" t="s">
        <v>512</v>
      </c>
      <c r="AF33">
        <v>8</v>
      </c>
      <c r="AG33" t="s">
        <v>517</v>
      </c>
      <c r="AH33" t="str">
        <f t="shared" si="0"/>
        <v>chr6_99955383_G_A</v>
      </c>
      <c r="AI33" s="2" t="str">
        <f>IF(ISNUMBER(MATCH(AH33,'3347_FINAL'!$AH:$AH,0)),"YES","NO")</f>
        <v>NO</v>
      </c>
    </row>
    <row r="34" spans="1:35" x14ac:dyDescent="0.2">
      <c r="A34" t="s">
        <v>142</v>
      </c>
      <c r="B34">
        <v>121481156</v>
      </c>
      <c r="C34">
        <v>121481156</v>
      </c>
      <c r="D34" t="s">
        <v>34</v>
      </c>
      <c r="E34" t="s">
        <v>43</v>
      </c>
      <c r="F34" t="s">
        <v>36</v>
      </c>
      <c r="G34" t="s">
        <v>148</v>
      </c>
      <c r="H34" t="s">
        <v>47</v>
      </c>
      <c r="I34" t="s">
        <v>439</v>
      </c>
      <c r="J34" t="s">
        <v>437</v>
      </c>
      <c r="O34" t="s">
        <v>41</v>
      </c>
      <c r="P34">
        <v>0.97599999999999998</v>
      </c>
      <c r="Q34" t="s">
        <v>42</v>
      </c>
      <c r="R34">
        <v>0.83</v>
      </c>
      <c r="S34" t="s">
        <v>117</v>
      </c>
      <c r="T34">
        <v>7.4700000000000005E-4</v>
      </c>
      <c r="U34" t="s">
        <v>42</v>
      </c>
      <c r="V34">
        <v>0.96255999999999997</v>
      </c>
      <c r="W34" t="s">
        <v>42</v>
      </c>
      <c r="X34">
        <v>1.87</v>
      </c>
      <c r="Y34" t="s">
        <v>206</v>
      </c>
      <c r="Z34">
        <v>1.84</v>
      </c>
      <c r="AA34">
        <v>5.03</v>
      </c>
      <c r="AB34">
        <v>2.4790000000000001</v>
      </c>
      <c r="AC34">
        <v>18.718900000000001</v>
      </c>
      <c r="AD34">
        <v>36</v>
      </c>
      <c r="AE34" t="s">
        <v>512</v>
      </c>
      <c r="AF34">
        <v>17</v>
      </c>
      <c r="AG34" t="s">
        <v>517</v>
      </c>
      <c r="AH34" t="str">
        <f t="shared" si="0"/>
        <v>chr6_121481156_C_A</v>
      </c>
      <c r="AI34" s="2" t="str">
        <f>IF(ISNUMBER(MATCH(AH34,'3347_FINAL'!$AH:$AH,0)),"YES","NO")</f>
        <v>NO</v>
      </c>
    </row>
    <row r="35" spans="1:35" x14ac:dyDescent="0.2">
      <c r="A35" t="s">
        <v>142</v>
      </c>
      <c r="B35">
        <v>121481159</v>
      </c>
      <c r="C35">
        <v>121481159</v>
      </c>
      <c r="D35" t="s">
        <v>45</v>
      </c>
      <c r="E35" t="s">
        <v>43</v>
      </c>
      <c r="F35" t="s">
        <v>36</v>
      </c>
      <c r="G35" t="s">
        <v>148</v>
      </c>
      <c r="H35" t="s">
        <v>38</v>
      </c>
      <c r="I35" t="s">
        <v>438</v>
      </c>
      <c r="J35" t="s">
        <v>437</v>
      </c>
      <c r="O35">
        <v>0.27</v>
      </c>
      <c r="P35" t="s">
        <v>41</v>
      </c>
      <c r="Q35" t="s">
        <v>41</v>
      </c>
      <c r="R35" t="s">
        <v>41</v>
      </c>
      <c r="S35" t="s">
        <v>41</v>
      </c>
      <c r="T35">
        <v>2.7439999999999999E-3</v>
      </c>
      <c r="U35" t="s">
        <v>73</v>
      </c>
      <c r="V35">
        <v>1</v>
      </c>
      <c r="W35" t="s">
        <v>43</v>
      </c>
      <c r="X35" t="s">
        <v>41</v>
      </c>
      <c r="Y35" t="s">
        <v>41</v>
      </c>
      <c r="Z35" t="s">
        <v>41</v>
      </c>
      <c r="AA35">
        <v>4.1399999999999997</v>
      </c>
      <c r="AB35">
        <v>1.19</v>
      </c>
      <c r="AC35">
        <v>14.911300000000001</v>
      </c>
      <c r="AD35">
        <v>38</v>
      </c>
      <c r="AE35" t="s">
        <v>512</v>
      </c>
      <c r="AF35">
        <v>18</v>
      </c>
      <c r="AG35" t="s">
        <v>517</v>
      </c>
      <c r="AH35" t="str">
        <f t="shared" si="0"/>
        <v>chr6_121481159_G_A</v>
      </c>
      <c r="AI35" s="2" t="str">
        <f>IF(ISNUMBER(MATCH(AH35,'3347_FINAL'!$AH:$AH,0)),"YES","NO")</f>
        <v>NO</v>
      </c>
    </row>
    <row r="36" spans="1:35" x14ac:dyDescent="0.2">
      <c r="A36" t="s">
        <v>142</v>
      </c>
      <c r="B36">
        <v>121625919</v>
      </c>
      <c r="C36">
        <v>121625919</v>
      </c>
      <c r="D36" t="s">
        <v>34</v>
      </c>
      <c r="E36" t="s">
        <v>43</v>
      </c>
      <c r="F36" t="s">
        <v>36</v>
      </c>
      <c r="G36" t="s">
        <v>148</v>
      </c>
      <c r="H36" t="s">
        <v>38</v>
      </c>
      <c r="I36" t="s">
        <v>436</v>
      </c>
      <c r="J36" t="s">
        <v>201</v>
      </c>
      <c r="O36">
        <v>0.02</v>
      </c>
      <c r="P36" t="s">
        <v>41</v>
      </c>
      <c r="Q36" t="s">
        <v>41</v>
      </c>
      <c r="R36" t="s">
        <v>41</v>
      </c>
      <c r="S36" t="s">
        <v>41</v>
      </c>
      <c r="T36">
        <v>8.0099999999999995E-4</v>
      </c>
      <c r="U36" t="s">
        <v>42</v>
      </c>
      <c r="V36">
        <v>1</v>
      </c>
      <c r="W36" t="s">
        <v>43</v>
      </c>
      <c r="X36" t="s">
        <v>41</v>
      </c>
      <c r="Y36" t="s">
        <v>41</v>
      </c>
      <c r="Z36" t="s">
        <v>41</v>
      </c>
      <c r="AA36">
        <v>4.93</v>
      </c>
      <c r="AB36">
        <v>2.2719999999999998</v>
      </c>
      <c r="AC36">
        <v>18.195900000000002</v>
      </c>
      <c r="AD36">
        <v>44</v>
      </c>
      <c r="AE36" t="s">
        <v>512</v>
      </c>
      <c r="AF36">
        <v>6</v>
      </c>
      <c r="AG36" t="s">
        <v>517</v>
      </c>
      <c r="AH36" t="str">
        <f t="shared" si="0"/>
        <v>chr6_121625919_C_A</v>
      </c>
      <c r="AI36" s="2" t="str">
        <f>IF(ISNUMBER(MATCH(AH36,'3347_FINAL'!$AH:$AH,0)),"YES","NO")</f>
        <v>NO</v>
      </c>
    </row>
    <row r="37" spans="1:35" x14ac:dyDescent="0.2">
      <c r="A37" t="s">
        <v>151</v>
      </c>
      <c r="B37">
        <v>23205540</v>
      </c>
      <c r="C37">
        <v>23205540</v>
      </c>
      <c r="D37" t="s">
        <v>34</v>
      </c>
      <c r="E37" t="s">
        <v>43</v>
      </c>
      <c r="F37" t="s">
        <v>36</v>
      </c>
      <c r="G37" t="s">
        <v>435</v>
      </c>
      <c r="H37" t="s">
        <v>47</v>
      </c>
      <c r="I37" t="s">
        <v>434</v>
      </c>
      <c r="J37" t="s">
        <v>433</v>
      </c>
      <c r="O37">
        <v>0</v>
      </c>
      <c r="P37">
        <v>1</v>
      </c>
      <c r="Q37" t="s">
        <v>42</v>
      </c>
      <c r="R37">
        <v>0.99199999999999999</v>
      </c>
      <c r="S37" t="s">
        <v>42</v>
      </c>
      <c r="T37">
        <v>0</v>
      </c>
      <c r="U37" t="s">
        <v>42</v>
      </c>
      <c r="V37">
        <v>0.99897800000000003</v>
      </c>
      <c r="W37" t="s">
        <v>42</v>
      </c>
      <c r="X37">
        <v>1.575</v>
      </c>
      <c r="Y37" t="s">
        <v>206</v>
      </c>
      <c r="Z37">
        <v>1.49</v>
      </c>
      <c r="AA37">
        <v>5.77</v>
      </c>
      <c r="AB37">
        <v>2.7290000000000001</v>
      </c>
      <c r="AC37">
        <v>19.992599999999999</v>
      </c>
      <c r="AD37">
        <v>33</v>
      </c>
      <c r="AE37" s="5" t="s">
        <v>521</v>
      </c>
      <c r="AF37">
        <v>2</v>
      </c>
      <c r="AG37" t="s">
        <v>44</v>
      </c>
      <c r="AH37" t="str">
        <f t="shared" si="0"/>
        <v>chr7_23205540_C_A</v>
      </c>
      <c r="AI37" s="2" t="str">
        <f>IF(ISNUMBER(MATCH(AH37,'3347_FINAL'!$AH:$AH,0)),"YES","NO")</f>
        <v>NO</v>
      </c>
    </row>
    <row r="38" spans="1:35" x14ac:dyDescent="0.2">
      <c r="A38" t="s">
        <v>151</v>
      </c>
      <c r="B38">
        <v>33296904</v>
      </c>
      <c r="C38">
        <v>33296904</v>
      </c>
      <c r="D38" t="s">
        <v>45</v>
      </c>
      <c r="E38" t="s">
        <v>35</v>
      </c>
      <c r="F38" t="s">
        <v>36</v>
      </c>
      <c r="G38" t="s">
        <v>428</v>
      </c>
      <c r="H38" t="s">
        <v>38</v>
      </c>
      <c r="I38" t="s">
        <v>432</v>
      </c>
      <c r="J38" t="s">
        <v>431</v>
      </c>
      <c r="O38">
        <v>0.08</v>
      </c>
      <c r="P38" t="s">
        <v>41</v>
      </c>
      <c r="Q38" t="s">
        <v>41</v>
      </c>
      <c r="R38" t="s">
        <v>41</v>
      </c>
      <c r="S38" t="s">
        <v>41</v>
      </c>
      <c r="T38">
        <v>0</v>
      </c>
      <c r="U38" t="s">
        <v>42</v>
      </c>
      <c r="V38">
        <v>1</v>
      </c>
      <c r="W38" t="s">
        <v>43</v>
      </c>
      <c r="X38" t="s">
        <v>41</v>
      </c>
      <c r="Y38" t="s">
        <v>41</v>
      </c>
      <c r="Z38" t="s">
        <v>41</v>
      </c>
      <c r="AA38">
        <v>5.86</v>
      </c>
      <c r="AB38">
        <v>2.7759999999999998</v>
      </c>
      <c r="AC38">
        <v>20.201899999999998</v>
      </c>
      <c r="AD38">
        <v>39</v>
      </c>
      <c r="AE38" t="s">
        <v>512</v>
      </c>
      <c r="AF38">
        <v>10</v>
      </c>
      <c r="AG38" t="s">
        <v>517</v>
      </c>
      <c r="AH38" t="str">
        <f t="shared" si="0"/>
        <v>chr7_33296904_G_T</v>
      </c>
      <c r="AI38" s="2" t="str">
        <f>IF(ISNUMBER(MATCH(AH38,'3347_FINAL'!$AH:$AH,0)),"YES","NO")</f>
        <v>NO</v>
      </c>
    </row>
    <row r="39" spans="1:35" x14ac:dyDescent="0.2">
      <c r="A39" t="s">
        <v>151</v>
      </c>
      <c r="B39">
        <v>33376229</v>
      </c>
      <c r="C39">
        <v>33376229</v>
      </c>
      <c r="D39" t="s">
        <v>34</v>
      </c>
      <c r="E39" t="s">
        <v>43</v>
      </c>
      <c r="F39" t="s">
        <v>36</v>
      </c>
      <c r="G39" t="s">
        <v>428</v>
      </c>
      <c r="H39" t="s">
        <v>38</v>
      </c>
      <c r="I39" t="s">
        <v>430</v>
      </c>
      <c r="J39" t="s">
        <v>409</v>
      </c>
      <c r="O39">
        <v>1</v>
      </c>
      <c r="P39" t="s">
        <v>41</v>
      </c>
      <c r="Q39" t="s">
        <v>41</v>
      </c>
      <c r="R39" t="s">
        <v>41</v>
      </c>
      <c r="S39" t="s">
        <v>41</v>
      </c>
      <c r="T39">
        <v>6.5465999999999996E-2</v>
      </c>
      <c r="U39" t="s">
        <v>73</v>
      </c>
      <c r="V39">
        <v>1</v>
      </c>
      <c r="W39" t="s">
        <v>43</v>
      </c>
      <c r="X39" t="s">
        <v>41</v>
      </c>
      <c r="Y39" t="s">
        <v>41</v>
      </c>
      <c r="Z39" t="s">
        <v>41</v>
      </c>
      <c r="AA39">
        <v>3.71</v>
      </c>
      <c r="AB39">
        <v>0.67900000000000005</v>
      </c>
      <c r="AC39">
        <v>10.7203</v>
      </c>
      <c r="AD39">
        <v>36</v>
      </c>
      <c r="AE39" t="s">
        <v>512</v>
      </c>
      <c r="AF39">
        <v>8</v>
      </c>
      <c r="AG39" t="s">
        <v>517</v>
      </c>
      <c r="AH39" t="str">
        <f t="shared" si="0"/>
        <v>chr7_33376229_C_A</v>
      </c>
      <c r="AI39" s="2" t="str">
        <f>IF(ISNUMBER(MATCH(AH39,'3347_FINAL'!$AH:$AH,0)),"YES","NO")</f>
        <v>NO</v>
      </c>
    </row>
    <row r="40" spans="1:35" x14ac:dyDescent="0.2">
      <c r="A40" t="s">
        <v>151</v>
      </c>
      <c r="B40">
        <v>33376234</v>
      </c>
      <c r="C40">
        <v>33376234</v>
      </c>
      <c r="D40" t="s">
        <v>45</v>
      </c>
      <c r="E40" t="s">
        <v>35</v>
      </c>
      <c r="F40" t="s">
        <v>36</v>
      </c>
      <c r="G40" t="s">
        <v>428</v>
      </c>
      <c r="H40" t="s">
        <v>47</v>
      </c>
      <c r="I40" t="s">
        <v>429</v>
      </c>
      <c r="J40" t="s">
        <v>409</v>
      </c>
      <c r="O40">
        <v>0.05</v>
      </c>
      <c r="P40">
        <v>0.79600000000000004</v>
      </c>
      <c r="Q40" t="s">
        <v>117</v>
      </c>
      <c r="R40">
        <v>0.66900000000000004</v>
      </c>
      <c r="S40" t="s">
        <v>117</v>
      </c>
      <c r="T40">
        <v>2.8509999999999998E-3</v>
      </c>
      <c r="U40" t="s">
        <v>73</v>
      </c>
      <c r="V40" t="s">
        <v>41</v>
      </c>
      <c r="W40" t="s">
        <v>41</v>
      </c>
      <c r="X40">
        <v>1.4450000000000001</v>
      </c>
      <c r="Y40" t="s">
        <v>206</v>
      </c>
      <c r="Z40">
        <v>0.67</v>
      </c>
      <c r="AA40">
        <v>5.54</v>
      </c>
      <c r="AB40">
        <v>2.6040000000000001</v>
      </c>
      <c r="AC40">
        <v>19.477399999999999</v>
      </c>
      <c r="AD40">
        <v>33</v>
      </c>
      <c r="AE40" t="s">
        <v>512</v>
      </c>
      <c r="AF40">
        <v>8</v>
      </c>
      <c r="AG40" t="s">
        <v>517</v>
      </c>
      <c r="AH40" t="str">
        <f t="shared" si="0"/>
        <v>chr7_33376234_G_T</v>
      </c>
      <c r="AI40" s="2" t="str">
        <f>IF(ISNUMBER(MATCH(AH40,'3347_FINAL'!$AH:$AH,0)),"YES","NO")</f>
        <v>NO</v>
      </c>
    </row>
    <row r="41" spans="1:35" x14ac:dyDescent="0.2">
      <c r="A41" t="s">
        <v>151</v>
      </c>
      <c r="B41">
        <v>33423298</v>
      </c>
      <c r="C41">
        <v>33423298</v>
      </c>
      <c r="D41" t="s">
        <v>45</v>
      </c>
      <c r="E41" t="s">
        <v>35</v>
      </c>
      <c r="F41" t="s">
        <v>36</v>
      </c>
      <c r="G41" t="s">
        <v>428</v>
      </c>
      <c r="H41" t="s">
        <v>38</v>
      </c>
      <c r="I41" t="s">
        <v>427</v>
      </c>
      <c r="J41" t="s">
        <v>426</v>
      </c>
      <c r="O41">
        <v>0.05</v>
      </c>
      <c r="P41" t="s">
        <v>41</v>
      </c>
      <c r="Q41" t="s">
        <v>41</v>
      </c>
      <c r="R41" t="s">
        <v>41</v>
      </c>
      <c r="S41" t="s">
        <v>41</v>
      </c>
      <c r="T41">
        <v>9.0000000000000002E-6</v>
      </c>
      <c r="U41" t="s">
        <v>42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>
        <v>5.92</v>
      </c>
      <c r="AB41">
        <v>2.8010000000000002</v>
      </c>
      <c r="AC41">
        <v>20.3172</v>
      </c>
      <c r="AD41">
        <v>41</v>
      </c>
      <c r="AE41" s="6" t="s">
        <v>521</v>
      </c>
      <c r="AF41">
        <v>1</v>
      </c>
      <c r="AG41" t="s">
        <v>44</v>
      </c>
      <c r="AH41" t="str">
        <f t="shared" si="0"/>
        <v>chr7_33423298_G_T</v>
      </c>
      <c r="AI41" s="2" t="str">
        <f>IF(ISNUMBER(MATCH(AH41,'3347_FINAL'!$AH:$AH,0)),"YES","NO")</f>
        <v>NO</v>
      </c>
    </row>
    <row r="42" spans="1:35" x14ac:dyDescent="0.2">
      <c r="A42" t="s">
        <v>151</v>
      </c>
      <c r="B42">
        <v>140043334</v>
      </c>
      <c r="C42">
        <v>140043334</v>
      </c>
      <c r="D42" t="s">
        <v>35</v>
      </c>
      <c r="E42" t="s">
        <v>43</v>
      </c>
      <c r="F42" t="s">
        <v>36</v>
      </c>
      <c r="G42" t="s">
        <v>157</v>
      </c>
      <c r="H42" t="s">
        <v>47</v>
      </c>
      <c r="I42" t="s">
        <v>425</v>
      </c>
      <c r="J42" t="s">
        <v>424</v>
      </c>
      <c r="O42">
        <v>0</v>
      </c>
      <c r="P42">
        <v>0.98399999999999999</v>
      </c>
      <c r="Q42" t="s">
        <v>42</v>
      </c>
      <c r="R42">
        <v>0.96</v>
      </c>
      <c r="S42" t="s">
        <v>42</v>
      </c>
      <c r="T42">
        <v>8.8999999999999995E-5</v>
      </c>
      <c r="U42" t="s">
        <v>42</v>
      </c>
      <c r="V42" t="s">
        <v>41</v>
      </c>
      <c r="W42" t="s">
        <v>41</v>
      </c>
      <c r="X42">
        <v>3.4649999999999999</v>
      </c>
      <c r="Y42" t="s">
        <v>50</v>
      </c>
      <c r="Z42">
        <v>-0.34</v>
      </c>
      <c r="AA42">
        <v>4.37</v>
      </c>
      <c r="AB42">
        <v>0.94399999999999995</v>
      </c>
      <c r="AC42">
        <v>10.5905</v>
      </c>
      <c r="AD42">
        <v>33</v>
      </c>
      <c r="AE42" t="s">
        <v>512</v>
      </c>
      <c r="AF42">
        <v>15</v>
      </c>
      <c r="AG42" t="s">
        <v>517</v>
      </c>
      <c r="AH42" t="str">
        <f t="shared" si="0"/>
        <v>chr7_140043334_T_A</v>
      </c>
      <c r="AI42" s="2" t="str">
        <f>IF(ISNUMBER(MATCH(AH42,'3347_FINAL'!$AH:$AH,0)),"YES","NO")</f>
        <v>NO</v>
      </c>
    </row>
    <row r="43" spans="1:35" x14ac:dyDescent="0.2">
      <c r="A43" t="s">
        <v>162</v>
      </c>
      <c r="B43">
        <v>43013841</v>
      </c>
      <c r="C43">
        <v>43013841</v>
      </c>
      <c r="D43" t="s">
        <v>43</v>
      </c>
      <c r="E43" t="s">
        <v>35</v>
      </c>
      <c r="F43" t="s">
        <v>36</v>
      </c>
      <c r="G43" t="s">
        <v>423</v>
      </c>
      <c r="H43" t="s">
        <v>38</v>
      </c>
      <c r="I43" t="s">
        <v>422</v>
      </c>
      <c r="O43">
        <v>1</v>
      </c>
      <c r="P43" t="s">
        <v>41</v>
      </c>
      <c r="Q43" t="s">
        <v>41</v>
      </c>
      <c r="R43" t="s">
        <v>41</v>
      </c>
      <c r="S43" t="s">
        <v>41</v>
      </c>
      <c r="T43">
        <v>0.130907</v>
      </c>
      <c r="U43" t="s">
        <v>73</v>
      </c>
      <c r="V43">
        <v>1</v>
      </c>
      <c r="W43" t="s">
        <v>43</v>
      </c>
      <c r="X43" t="s">
        <v>41</v>
      </c>
      <c r="Y43" t="s">
        <v>41</v>
      </c>
      <c r="Z43" t="s">
        <v>41</v>
      </c>
      <c r="AA43">
        <v>4.88</v>
      </c>
      <c r="AB43">
        <v>1.111</v>
      </c>
      <c r="AC43">
        <v>9.0699000000000005</v>
      </c>
      <c r="AD43">
        <v>38</v>
      </c>
      <c r="AE43" t="s">
        <v>512</v>
      </c>
      <c r="AF43">
        <v>6</v>
      </c>
      <c r="AG43" t="s">
        <v>517</v>
      </c>
      <c r="AH43" t="str">
        <f t="shared" si="0"/>
        <v>chr8_43013841_A_T</v>
      </c>
      <c r="AI43" s="2" t="str">
        <f>IF(ISNUMBER(MATCH(AH43,'3347_FINAL'!$AH:$AH,0)),"YES","NO")</f>
        <v>NO</v>
      </c>
    </row>
    <row r="44" spans="1:35" x14ac:dyDescent="0.2">
      <c r="A44" t="s">
        <v>162</v>
      </c>
      <c r="B44">
        <v>55540515</v>
      </c>
      <c r="C44">
        <v>55540515</v>
      </c>
      <c r="D44" t="s">
        <v>34</v>
      </c>
      <c r="E44" t="s">
        <v>43</v>
      </c>
      <c r="F44" t="s">
        <v>36</v>
      </c>
      <c r="G44" t="s">
        <v>420</v>
      </c>
      <c r="H44" t="s">
        <v>38</v>
      </c>
      <c r="I44" t="s">
        <v>421</v>
      </c>
      <c r="O44">
        <v>0.27</v>
      </c>
      <c r="P44" t="s">
        <v>41</v>
      </c>
      <c r="Q44" t="s">
        <v>41</v>
      </c>
      <c r="R44" t="s">
        <v>41</v>
      </c>
      <c r="S44" t="s">
        <v>41</v>
      </c>
      <c r="T44">
        <v>0.94381999999999999</v>
      </c>
      <c r="U44" t="s">
        <v>73</v>
      </c>
      <c r="V44">
        <v>1</v>
      </c>
      <c r="W44" t="s">
        <v>42</v>
      </c>
      <c r="X44" t="s">
        <v>41</v>
      </c>
      <c r="Y44" t="s">
        <v>41</v>
      </c>
      <c r="Z44" t="s">
        <v>41</v>
      </c>
      <c r="AA44">
        <v>1.97</v>
      </c>
      <c r="AB44">
        <v>0.46200000000000002</v>
      </c>
      <c r="AC44">
        <v>4.0324</v>
      </c>
      <c r="AD44">
        <v>34</v>
      </c>
      <c r="AE44" t="s">
        <v>512</v>
      </c>
      <c r="AF44">
        <v>11</v>
      </c>
      <c r="AG44" t="s">
        <v>517</v>
      </c>
      <c r="AH44" t="str">
        <f t="shared" si="0"/>
        <v>chr8_55540515_C_A</v>
      </c>
      <c r="AI44" s="2" t="str">
        <f>IF(ISNUMBER(MATCH(AH44,'3347_FINAL'!$AH:$AH,0)),"YES","NO")</f>
        <v>NO</v>
      </c>
    </row>
    <row r="45" spans="1:35" x14ac:dyDescent="0.2">
      <c r="A45" t="s">
        <v>162</v>
      </c>
      <c r="B45">
        <v>55540946</v>
      </c>
      <c r="C45">
        <v>55540946</v>
      </c>
      <c r="D45" t="s">
        <v>43</v>
      </c>
      <c r="E45" t="s">
        <v>35</v>
      </c>
      <c r="F45" t="s">
        <v>36</v>
      </c>
      <c r="G45" t="s">
        <v>420</v>
      </c>
      <c r="H45" t="s">
        <v>38</v>
      </c>
      <c r="I45" t="s">
        <v>419</v>
      </c>
      <c r="O45">
        <v>1</v>
      </c>
      <c r="P45" t="s">
        <v>41</v>
      </c>
      <c r="Q45" t="s">
        <v>41</v>
      </c>
      <c r="R45" t="s">
        <v>41</v>
      </c>
      <c r="S45" t="s">
        <v>41</v>
      </c>
      <c r="T45">
        <v>0.40155299999999999</v>
      </c>
      <c r="U45" t="s">
        <v>73</v>
      </c>
      <c r="V45">
        <v>1</v>
      </c>
      <c r="W45" t="s">
        <v>42</v>
      </c>
      <c r="X45" t="s">
        <v>41</v>
      </c>
      <c r="Y45" t="s">
        <v>41</v>
      </c>
      <c r="Z45" t="s">
        <v>41</v>
      </c>
      <c r="AA45">
        <v>-1.52</v>
      </c>
      <c r="AB45">
        <v>6.2E-2</v>
      </c>
      <c r="AC45">
        <v>0.8155</v>
      </c>
      <c r="AD45">
        <v>32</v>
      </c>
      <c r="AE45" t="s">
        <v>512</v>
      </c>
      <c r="AF45">
        <v>17</v>
      </c>
      <c r="AG45" t="s">
        <v>517</v>
      </c>
      <c r="AH45" t="str">
        <f t="shared" si="0"/>
        <v>chr8_55540946_A_T</v>
      </c>
      <c r="AI45" s="2" t="str">
        <f>IF(ISNUMBER(MATCH(AH45,'3347_FINAL'!$AH:$AH,0)),"YES","NO")</f>
        <v>NO</v>
      </c>
    </row>
    <row r="46" spans="1:35" s="3" customFormat="1" x14ac:dyDescent="0.2">
      <c r="A46" s="3" t="s">
        <v>162</v>
      </c>
      <c r="B46" s="3">
        <v>87588114</v>
      </c>
      <c r="C46" s="3">
        <v>87588114</v>
      </c>
      <c r="D46" s="3" t="s">
        <v>45</v>
      </c>
      <c r="E46" s="3" t="s">
        <v>35</v>
      </c>
      <c r="F46" s="3" t="s">
        <v>36</v>
      </c>
      <c r="G46" s="3" t="s">
        <v>163</v>
      </c>
      <c r="H46" s="3" t="s">
        <v>38</v>
      </c>
      <c r="I46" s="3" t="s">
        <v>164</v>
      </c>
      <c r="J46" s="3" t="s">
        <v>165</v>
      </c>
      <c r="O46" s="3">
        <v>1</v>
      </c>
      <c r="P46" s="3" t="s">
        <v>41</v>
      </c>
      <c r="Q46" s="3" t="s">
        <v>41</v>
      </c>
      <c r="R46" s="3" t="s">
        <v>41</v>
      </c>
      <c r="S46" s="3" t="s">
        <v>41</v>
      </c>
      <c r="T46" s="3">
        <v>6.6000000000000005E-5</v>
      </c>
      <c r="U46" s="3" t="s">
        <v>42</v>
      </c>
      <c r="V46" s="3">
        <v>0.99976799999999999</v>
      </c>
      <c r="W46" s="3" t="s">
        <v>42</v>
      </c>
      <c r="X46" s="3" t="s">
        <v>41</v>
      </c>
      <c r="Y46" s="3" t="s">
        <v>41</v>
      </c>
      <c r="Z46" s="3" t="s">
        <v>41</v>
      </c>
      <c r="AA46" s="3">
        <v>5.03</v>
      </c>
      <c r="AB46" s="3">
        <v>1.4830000000000001</v>
      </c>
      <c r="AC46" s="3">
        <v>12.763500000000001</v>
      </c>
      <c r="AD46" s="3">
        <v>37</v>
      </c>
      <c r="AE46" s="3" t="s">
        <v>512</v>
      </c>
      <c r="AF46" s="3">
        <v>10</v>
      </c>
      <c r="AG46" s="3" t="s">
        <v>517</v>
      </c>
      <c r="AH46" s="3" t="str">
        <f t="shared" si="0"/>
        <v>chr8_87588114_G_T</v>
      </c>
      <c r="AI46" s="4" t="str">
        <f>IF(ISNUMBER(MATCH(AH46,'3347_FINAL'!$AH:$AH,0)),"YES","NO")</f>
        <v>YES</v>
      </c>
    </row>
    <row r="47" spans="1:35" x14ac:dyDescent="0.2">
      <c r="A47" t="s">
        <v>162</v>
      </c>
      <c r="B47">
        <v>87588298</v>
      </c>
      <c r="C47">
        <v>87588298</v>
      </c>
      <c r="D47" t="s">
        <v>34</v>
      </c>
      <c r="E47" t="s">
        <v>43</v>
      </c>
      <c r="F47" t="s">
        <v>36</v>
      </c>
      <c r="G47" t="s">
        <v>163</v>
      </c>
      <c r="H47" t="s">
        <v>38</v>
      </c>
      <c r="I47" t="s">
        <v>418</v>
      </c>
      <c r="O47">
        <v>0.59</v>
      </c>
      <c r="P47" t="s">
        <v>41</v>
      </c>
      <c r="Q47" t="s">
        <v>41</v>
      </c>
      <c r="R47" t="s">
        <v>41</v>
      </c>
      <c r="S47" t="s">
        <v>41</v>
      </c>
      <c r="T47">
        <v>4.2200000000000001E-4</v>
      </c>
      <c r="U47" t="s">
        <v>274</v>
      </c>
      <c r="V47">
        <v>1</v>
      </c>
      <c r="W47" t="s">
        <v>42</v>
      </c>
      <c r="X47" t="s">
        <v>41</v>
      </c>
      <c r="Y47" t="s">
        <v>41</v>
      </c>
      <c r="Z47" t="s">
        <v>41</v>
      </c>
      <c r="AA47">
        <v>0.39900000000000002</v>
      </c>
      <c r="AB47">
        <v>0.439</v>
      </c>
      <c r="AC47" t="s">
        <v>41</v>
      </c>
      <c r="AD47">
        <v>33</v>
      </c>
      <c r="AE47" t="s">
        <v>512</v>
      </c>
      <c r="AF47">
        <v>8</v>
      </c>
      <c r="AG47" t="s">
        <v>517</v>
      </c>
      <c r="AH47" t="str">
        <f t="shared" si="0"/>
        <v>chr8_87588298_C_A</v>
      </c>
      <c r="AI47" s="2" t="str">
        <f>IF(ISNUMBER(MATCH(AH47,'3347_FINAL'!$AH:$AH,0)),"YES","NO")</f>
        <v>NO</v>
      </c>
    </row>
    <row r="48" spans="1:35" x14ac:dyDescent="0.2">
      <c r="A48" t="s">
        <v>162</v>
      </c>
      <c r="B48">
        <v>87755801</v>
      </c>
      <c r="C48">
        <v>87755801</v>
      </c>
      <c r="D48" t="s">
        <v>34</v>
      </c>
      <c r="E48" t="s">
        <v>43</v>
      </c>
      <c r="F48" t="s">
        <v>36</v>
      </c>
      <c r="G48" t="s">
        <v>163</v>
      </c>
      <c r="H48" t="s">
        <v>38</v>
      </c>
      <c r="I48" t="s">
        <v>417</v>
      </c>
      <c r="O48">
        <v>0.11</v>
      </c>
      <c r="P48" t="s">
        <v>41</v>
      </c>
      <c r="Q48" t="s">
        <v>41</v>
      </c>
      <c r="R48" t="s">
        <v>41</v>
      </c>
      <c r="S48" t="s">
        <v>41</v>
      </c>
      <c r="T48">
        <v>0.57159700000000002</v>
      </c>
      <c r="U48" t="s">
        <v>73</v>
      </c>
      <c r="V48">
        <v>1</v>
      </c>
      <c r="W48" t="s">
        <v>43</v>
      </c>
      <c r="X48" t="s">
        <v>41</v>
      </c>
      <c r="Y48" t="s">
        <v>41</v>
      </c>
      <c r="Z48" t="s">
        <v>41</v>
      </c>
      <c r="AA48">
        <v>4.99</v>
      </c>
      <c r="AB48">
        <v>2.831</v>
      </c>
      <c r="AC48">
        <v>6.9930000000000003</v>
      </c>
      <c r="AD48">
        <v>35</v>
      </c>
      <c r="AE48" t="s">
        <v>512</v>
      </c>
      <c r="AF48">
        <v>9</v>
      </c>
      <c r="AG48" t="s">
        <v>517</v>
      </c>
      <c r="AH48" t="str">
        <f t="shared" si="0"/>
        <v>chr8_87755801_C_A</v>
      </c>
      <c r="AI48" s="2" t="str">
        <f>IF(ISNUMBER(MATCH(AH48,'3347_FINAL'!$AH:$AH,0)),"YES","NO")</f>
        <v>NO</v>
      </c>
    </row>
    <row r="49" spans="1:35" x14ac:dyDescent="0.2">
      <c r="A49" t="s">
        <v>162</v>
      </c>
      <c r="B49">
        <v>105261015</v>
      </c>
      <c r="C49">
        <v>105261015</v>
      </c>
      <c r="D49" t="s">
        <v>45</v>
      </c>
      <c r="E49" t="s">
        <v>35</v>
      </c>
      <c r="F49" t="s">
        <v>36</v>
      </c>
      <c r="G49" t="s">
        <v>166</v>
      </c>
      <c r="H49" t="s">
        <v>47</v>
      </c>
      <c r="I49" t="s">
        <v>416</v>
      </c>
      <c r="J49" t="s">
        <v>415</v>
      </c>
      <c r="O49">
        <v>0</v>
      </c>
      <c r="P49">
        <v>0.98799999999999999</v>
      </c>
      <c r="Q49" t="s">
        <v>42</v>
      </c>
      <c r="R49">
        <v>0.96899999999999997</v>
      </c>
      <c r="S49" t="s">
        <v>42</v>
      </c>
      <c r="T49" t="s">
        <v>41</v>
      </c>
      <c r="U49" t="s">
        <v>41</v>
      </c>
      <c r="V49">
        <v>9.9999999999999995E-7</v>
      </c>
      <c r="W49" t="s">
        <v>73</v>
      </c>
      <c r="X49">
        <v>2.0950000000000002</v>
      </c>
      <c r="Y49" t="s">
        <v>50</v>
      </c>
      <c r="Z49">
        <v>1.1299999999999999</v>
      </c>
      <c r="AA49">
        <v>5.34</v>
      </c>
      <c r="AB49">
        <v>2.6640000000000001</v>
      </c>
      <c r="AC49">
        <v>19.407900000000001</v>
      </c>
      <c r="AD49">
        <v>33</v>
      </c>
      <c r="AE49" t="s">
        <v>512</v>
      </c>
      <c r="AF49">
        <v>13</v>
      </c>
      <c r="AG49" t="s">
        <v>517</v>
      </c>
      <c r="AH49" t="str">
        <f t="shared" si="0"/>
        <v>chr8_105261015_G_T</v>
      </c>
      <c r="AI49" s="2" t="str">
        <f>IF(ISNUMBER(MATCH(AH49,'3347_FINAL'!$AH:$AH,0)),"YES","NO")</f>
        <v>NO</v>
      </c>
    </row>
    <row r="50" spans="1:35" x14ac:dyDescent="0.2">
      <c r="A50" t="s">
        <v>169</v>
      </c>
      <c r="B50">
        <v>13190123</v>
      </c>
      <c r="C50">
        <v>13190123</v>
      </c>
      <c r="D50" t="s">
        <v>43</v>
      </c>
      <c r="E50" t="s">
        <v>35</v>
      </c>
      <c r="F50" t="s">
        <v>36</v>
      </c>
      <c r="G50" t="s">
        <v>414</v>
      </c>
      <c r="H50" t="s">
        <v>38</v>
      </c>
      <c r="I50" t="s">
        <v>413</v>
      </c>
      <c r="J50" t="s">
        <v>412</v>
      </c>
      <c r="O50">
        <v>1</v>
      </c>
      <c r="P50" t="s">
        <v>41</v>
      </c>
      <c r="Q50" t="s">
        <v>41</v>
      </c>
      <c r="R50" t="s">
        <v>41</v>
      </c>
      <c r="S50" t="s">
        <v>41</v>
      </c>
      <c r="T50">
        <v>2.3180000000000002E-3</v>
      </c>
      <c r="U50" t="s">
        <v>73</v>
      </c>
      <c r="V50">
        <v>1</v>
      </c>
      <c r="W50" t="s">
        <v>43</v>
      </c>
      <c r="X50" t="s">
        <v>41</v>
      </c>
      <c r="Y50" t="s">
        <v>41</v>
      </c>
      <c r="Z50" t="s">
        <v>41</v>
      </c>
      <c r="AA50">
        <v>6.07</v>
      </c>
      <c r="AB50">
        <v>2.3260000000000001</v>
      </c>
      <c r="AC50">
        <v>16.3141</v>
      </c>
      <c r="AD50">
        <v>41</v>
      </c>
      <c r="AE50" t="s">
        <v>512</v>
      </c>
      <c r="AF50">
        <v>14</v>
      </c>
      <c r="AG50" t="s">
        <v>517</v>
      </c>
      <c r="AH50" t="str">
        <f t="shared" si="0"/>
        <v>chr9_13190123_A_T</v>
      </c>
      <c r="AI50" s="2" t="str">
        <f>IF(ISNUMBER(MATCH(AH50,'3347_FINAL'!$AH:$AH,0)),"YES","NO")</f>
        <v>NO</v>
      </c>
    </row>
    <row r="51" spans="1:35" x14ac:dyDescent="0.2">
      <c r="A51" t="s">
        <v>169</v>
      </c>
      <c r="B51">
        <v>102992029</v>
      </c>
      <c r="C51">
        <v>102992029</v>
      </c>
      <c r="D51" t="s">
        <v>45</v>
      </c>
      <c r="E51" t="s">
        <v>35</v>
      </c>
      <c r="F51" t="s">
        <v>36</v>
      </c>
      <c r="G51" t="s">
        <v>411</v>
      </c>
      <c r="H51" t="s">
        <v>47</v>
      </c>
      <c r="I51" t="s">
        <v>410</v>
      </c>
      <c r="J51" t="s">
        <v>409</v>
      </c>
      <c r="O51">
        <v>0.01</v>
      </c>
      <c r="P51">
        <v>1</v>
      </c>
      <c r="Q51" t="s">
        <v>42</v>
      </c>
      <c r="R51">
        <v>1</v>
      </c>
      <c r="S51" t="s">
        <v>42</v>
      </c>
      <c r="T51">
        <v>9.9999999999999995E-7</v>
      </c>
      <c r="U51" t="s">
        <v>42</v>
      </c>
      <c r="V51">
        <v>0.99998900000000002</v>
      </c>
      <c r="W51" t="s">
        <v>42</v>
      </c>
      <c r="X51">
        <v>2.78</v>
      </c>
      <c r="Y51" t="s">
        <v>50</v>
      </c>
      <c r="Z51">
        <v>-1.0900000000000001</v>
      </c>
      <c r="AA51">
        <v>5.51</v>
      </c>
      <c r="AB51">
        <v>2.58</v>
      </c>
      <c r="AC51">
        <v>19.412800000000001</v>
      </c>
      <c r="AD51">
        <v>33</v>
      </c>
      <c r="AE51" s="6" t="s">
        <v>521</v>
      </c>
      <c r="AF51">
        <v>1</v>
      </c>
      <c r="AG51" t="s">
        <v>44</v>
      </c>
      <c r="AH51" t="str">
        <f t="shared" si="0"/>
        <v>chr9_102992029_G_T</v>
      </c>
      <c r="AI51" s="2" t="str">
        <f>IF(ISNUMBER(MATCH(AH51,'3347_FINAL'!$AH:$AH,0)),"YES","NO")</f>
        <v>NO</v>
      </c>
    </row>
    <row r="52" spans="1:35" x14ac:dyDescent="0.2">
      <c r="A52" t="s">
        <v>169</v>
      </c>
      <c r="B52">
        <v>108234263</v>
      </c>
      <c r="C52">
        <v>108234263</v>
      </c>
      <c r="D52" t="s">
        <v>43</v>
      </c>
      <c r="E52" t="s">
        <v>35</v>
      </c>
      <c r="F52" t="s">
        <v>36</v>
      </c>
      <c r="G52" t="s">
        <v>406</v>
      </c>
      <c r="H52" t="s">
        <v>38</v>
      </c>
      <c r="I52" t="s">
        <v>408</v>
      </c>
      <c r="J52" t="s">
        <v>407</v>
      </c>
      <c r="O52">
        <v>0.62</v>
      </c>
      <c r="P52" t="s">
        <v>41</v>
      </c>
      <c r="Q52" t="s">
        <v>41</v>
      </c>
      <c r="R52" t="s">
        <v>41</v>
      </c>
      <c r="S52" t="s">
        <v>41</v>
      </c>
      <c r="T52">
        <v>7.731E-3</v>
      </c>
      <c r="U52" t="s">
        <v>274</v>
      </c>
      <c r="V52">
        <v>1</v>
      </c>
      <c r="W52" t="s">
        <v>43</v>
      </c>
      <c r="X52" t="s">
        <v>41</v>
      </c>
      <c r="Y52" t="s">
        <v>41</v>
      </c>
      <c r="Z52" t="s">
        <v>41</v>
      </c>
      <c r="AA52">
        <v>4.9400000000000004</v>
      </c>
      <c r="AB52">
        <v>1.9630000000000001</v>
      </c>
      <c r="AC52">
        <v>13.8612</v>
      </c>
      <c r="AD52">
        <v>39</v>
      </c>
      <c r="AE52" t="s">
        <v>512</v>
      </c>
      <c r="AF52">
        <v>22</v>
      </c>
      <c r="AG52" t="s">
        <v>517</v>
      </c>
      <c r="AH52" t="str">
        <f t="shared" si="0"/>
        <v>chr9_108234263_A_T</v>
      </c>
      <c r="AI52" s="2" t="str">
        <f>IF(ISNUMBER(MATCH(AH52,'3347_FINAL'!$AH:$AH,0)),"YES","NO")</f>
        <v>NO</v>
      </c>
    </row>
    <row r="53" spans="1:35" x14ac:dyDescent="0.2">
      <c r="A53" t="s">
        <v>169</v>
      </c>
      <c r="B53">
        <v>108297502</v>
      </c>
      <c r="C53">
        <v>108297502</v>
      </c>
      <c r="D53" t="s">
        <v>45</v>
      </c>
      <c r="E53" t="s">
        <v>43</v>
      </c>
      <c r="F53" t="s">
        <v>36</v>
      </c>
      <c r="G53" t="s">
        <v>406</v>
      </c>
      <c r="H53" t="s">
        <v>38</v>
      </c>
      <c r="I53" t="s">
        <v>405</v>
      </c>
      <c r="J53" t="s">
        <v>404</v>
      </c>
      <c r="O53">
        <v>0.91</v>
      </c>
      <c r="P53" t="s">
        <v>41</v>
      </c>
      <c r="Q53" t="s">
        <v>41</v>
      </c>
      <c r="R53" t="s">
        <v>41</v>
      </c>
      <c r="S53" t="s">
        <v>41</v>
      </c>
      <c r="T53">
        <v>9.9999999999999995E-7</v>
      </c>
      <c r="U53" t="s">
        <v>42</v>
      </c>
      <c r="V53">
        <v>1</v>
      </c>
      <c r="W53" t="s">
        <v>43</v>
      </c>
      <c r="X53" t="s">
        <v>41</v>
      </c>
      <c r="Y53" t="s">
        <v>41</v>
      </c>
      <c r="Z53" t="s">
        <v>41</v>
      </c>
      <c r="AA53">
        <v>5.79</v>
      </c>
      <c r="AB53">
        <v>2.7450000000000001</v>
      </c>
      <c r="AC53">
        <v>19.008800000000001</v>
      </c>
      <c r="AD53">
        <v>44</v>
      </c>
      <c r="AE53" t="s">
        <v>512</v>
      </c>
      <c r="AF53">
        <v>17</v>
      </c>
      <c r="AG53" t="s">
        <v>517</v>
      </c>
      <c r="AH53" t="str">
        <f t="shared" si="0"/>
        <v>chr9_108297502_G_A</v>
      </c>
      <c r="AI53" s="2" t="str">
        <f>IF(ISNUMBER(MATCH(AH53,'3347_FINAL'!$AH:$AH,0)),"YES","NO")</f>
        <v>NO</v>
      </c>
    </row>
    <row r="54" spans="1:35" s="3" customFormat="1" x14ac:dyDescent="0.2">
      <c r="A54" s="3" t="s">
        <v>169</v>
      </c>
      <c r="B54" s="3">
        <v>116045679</v>
      </c>
      <c r="C54" s="3">
        <v>116045679</v>
      </c>
      <c r="D54" s="3" t="s">
        <v>34</v>
      </c>
      <c r="E54" s="3" t="s">
        <v>43</v>
      </c>
      <c r="F54" s="3" t="s">
        <v>36</v>
      </c>
      <c r="G54" s="3" t="s">
        <v>170</v>
      </c>
      <c r="H54" s="3" t="s">
        <v>47</v>
      </c>
      <c r="I54" s="3" t="s">
        <v>171</v>
      </c>
      <c r="J54" s="3" t="s">
        <v>172</v>
      </c>
      <c r="O54" s="3">
        <v>0</v>
      </c>
      <c r="P54" s="3">
        <v>1</v>
      </c>
      <c r="Q54" s="3" t="s">
        <v>42</v>
      </c>
      <c r="R54" s="3">
        <v>0.99399999999999999</v>
      </c>
      <c r="S54" s="3" t="s">
        <v>42</v>
      </c>
      <c r="T54" s="3">
        <v>4.3999999999999999E-5</v>
      </c>
      <c r="U54" s="3" t="s">
        <v>42</v>
      </c>
      <c r="V54" s="3">
        <v>0.99999899999999997</v>
      </c>
      <c r="W54" s="3" t="s">
        <v>42</v>
      </c>
      <c r="X54" s="3">
        <v>2.9950000000000001</v>
      </c>
      <c r="Y54" s="3" t="s">
        <v>50</v>
      </c>
      <c r="Z54" s="3">
        <v>-1.29</v>
      </c>
      <c r="AA54" s="3">
        <v>5.35</v>
      </c>
      <c r="AB54" s="3">
        <v>2.5030000000000001</v>
      </c>
      <c r="AC54" s="3">
        <v>18.090599999999998</v>
      </c>
      <c r="AD54" s="3">
        <v>31</v>
      </c>
      <c r="AE54" s="3" t="s">
        <v>512</v>
      </c>
      <c r="AF54" s="3">
        <v>12</v>
      </c>
      <c r="AG54" s="3" t="s">
        <v>517</v>
      </c>
      <c r="AH54" s="3" t="str">
        <f t="shared" si="0"/>
        <v>chr9_116045679_C_A</v>
      </c>
      <c r="AI54" s="4" t="str">
        <f>IF(ISNUMBER(MATCH(AH54,'3347_FINAL'!$AH:$AH,0)),"YES","NO")</f>
        <v>YES</v>
      </c>
    </row>
    <row r="55" spans="1:35" s="3" customFormat="1" x14ac:dyDescent="0.2">
      <c r="A55" s="3" t="s">
        <v>169</v>
      </c>
      <c r="B55" s="3">
        <v>116045680</v>
      </c>
      <c r="C55" s="3">
        <v>116045680</v>
      </c>
      <c r="D55" s="3" t="s">
        <v>45</v>
      </c>
      <c r="E55" s="3" t="s">
        <v>43</v>
      </c>
      <c r="F55" s="3" t="s">
        <v>36</v>
      </c>
      <c r="G55" s="3" t="s">
        <v>170</v>
      </c>
      <c r="H55" s="3" t="s">
        <v>47</v>
      </c>
      <c r="I55" s="3" t="s">
        <v>173</v>
      </c>
      <c r="J55" s="3" t="s">
        <v>172</v>
      </c>
      <c r="N55" s="3" t="s">
        <v>174</v>
      </c>
      <c r="O55" s="3">
        <v>0</v>
      </c>
      <c r="P55" s="3">
        <v>1</v>
      </c>
      <c r="Q55" s="3" t="s">
        <v>42</v>
      </c>
      <c r="R55" s="3">
        <v>0.998</v>
      </c>
      <c r="S55" s="3" t="s">
        <v>42</v>
      </c>
      <c r="T55" s="3">
        <v>4.3999999999999999E-5</v>
      </c>
      <c r="U55" s="3" t="s">
        <v>42</v>
      </c>
      <c r="V55" s="3">
        <v>0.99999899999999997</v>
      </c>
      <c r="W55" s="3" t="s">
        <v>42</v>
      </c>
      <c r="X55" s="3">
        <v>2.9950000000000001</v>
      </c>
      <c r="Y55" s="3" t="s">
        <v>50</v>
      </c>
      <c r="Z55" s="3">
        <v>-1.31</v>
      </c>
      <c r="AA55" s="3">
        <v>5.35</v>
      </c>
      <c r="AB55" s="3">
        <v>2.5030000000000001</v>
      </c>
      <c r="AC55" s="3">
        <v>18.090599999999998</v>
      </c>
      <c r="AD55" s="3">
        <v>33</v>
      </c>
      <c r="AE55" s="3" t="s">
        <v>512</v>
      </c>
      <c r="AF55" s="3">
        <v>11</v>
      </c>
      <c r="AG55" s="3" t="s">
        <v>517</v>
      </c>
      <c r="AH55" s="3" t="str">
        <f t="shared" si="0"/>
        <v>chr9_116045680_G_A</v>
      </c>
      <c r="AI55" s="4" t="str">
        <f>IF(ISNUMBER(MATCH(AH55,'3347_FINAL'!$AH:$AH,0)),"YES","NO")</f>
        <v>YES</v>
      </c>
    </row>
    <row r="56" spans="1:35" x14ac:dyDescent="0.2">
      <c r="A56" t="s">
        <v>169</v>
      </c>
      <c r="B56">
        <v>116045683</v>
      </c>
      <c r="C56">
        <v>116045683</v>
      </c>
      <c r="D56" t="s">
        <v>35</v>
      </c>
      <c r="E56" t="s">
        <v>43</v>
      </c>
      <c r="F56" t="s">
        <v>36</v>
      </c>
      <c r="G56" t="s">
        <v>170</v>
      </c>
      <c r="H56" t="s">
        <v>38</v>
      </c>
      <c r="I56" t="s">
        <v>403</v>
      </c>
      <c r="J56" t="s">
        <v>172</v>
      </c>
      <c r="O56">
        <v>1</v>
      </c>
      <c r="P56" t="s">
        <v>41</v>
      </c>
      <c r="Q56" t="s">
        <v>41</v>
      </c>
      <c r="R56" t="s">
        <v>41</v>
      </c>
      <c r="S56" t="s">
        <v>41</v>
      </c>
      <c r="T56">
        <v>6.2E-4</v>
      </c>
      <c r="U56" t="s">
        <v>42</v>
      </c>
      <c r="V56">
        <v>1</v>
      </c>
      <c r="W56" t="s">
        <v>43</v>
      </c>
      <c r="X56" t="s">
        <v>41</v>
      </c>
      <c r="Y56" t="s">
        <v>41</v>
      </c>
      <c r="Z56" t="s">
        <v>41</v>
      </c>
      <c r="AA56">
        <v>5.35</v>
      </c>
      <c r="AB56">
        <v>2.0270000000000001</v>
      </c>
      <c r="AC56">
        <v>14.5533</v>
      </c>
      <c r="AD56">
        <v>39</v>
      </c>
      <c r="AE56" t="s">
        <v>512</v>
      </c>
      <c r="AF56">
        <v>9</v>
      </c>
      <c r="AG56" t="s">
        <v>517</v>
      </c>
      <c r="AH56" t="str">
        <f t="shared" si="0"/>
        <v>chr9_116045683_T_A</v>
      </c>
      <c r="AI56" s="2" t="str">
        <f>IF(ISNUMBER(MATCH(AH56,'3347_FINAL'!$AH:$AH,0)),"YES","NO")</f>
        <v>NO</v>
      </c>
    </row>
    <row r="57" spans="1:35" x14ac:dyDescent="0.2">
      <c r="A57" t="s">
        <v>176</v>
      </c>
      <c r="B57">
        <v>27009245</v>
      </c>
      <c r="C57">
        <v>27009245</v>
      </c>
      <c r="D57" t="s">
        <v>45</v>
      </c>
      <c r="E57" t="s">
        <v>43</v>
      </c>
      <c r="F57" t="s">
        <v>36</v>
      </c>
      <c r="G57" t="s">
        <v>402</v>
      </c>
      <c r="H57" t="s">
        <v>47</v>
      </c>
      <c r="I57" t="s">
        <v>401</v>
      </c>
      <c r="J57" t="s">
        <v>400</v>
      </c>
      <c r="O57">
        <v>0</v>
      </c>
      <c r="P57">
        <v>1</v>
      </c>
      <c r="Q57" t="s">
        <v>42</v>
      </c>
      <c r="R57">
        <v>1</v>
      </c>
      <c r="S57" t="s">
        <v>42</v>
      </c>
      <c r="T57">
        <v>0</v>
      </c>
      <c r="U57" t="s">
        <v>42</v>
      </c>
      <c r="V57">
        <v>0.99999899999999997</v>
      </c>
      <c r="W57" t="s">
        <v>42</v>
      </c>
      <c r="X57">
        <v>4.78</v>
      </c>
      <c r="Y57" t="s">
        <v>52</v>
      </c>
      <c r="Z57">
        <v>-2.46</v>
      </c>
      <c r="AA57">
        <v>5.65</v>
      </c>
      <c r="AB57">
        <v>2.681</v>
      </c>
      <c r="AC57">
        <v>19.716000000000001</v>
      </c>
      <c r="AD57">
        <v>33</v>
      </c>
      <c r="AE57" s="6" t="s">
        <v>521</v>
      </c>
      <c r="AF57">
        <v>3</v>
      </c>
      <c r="AG57" t="s">
        <v>44</v>
      </c>
      <c r="AH57" t="str">
        <f t="shared" si="0"/>
        <v>chr10_27009245_G_A</v>
      </c>
      <c r="AI57" s="2" t="str">
        <f>IF(ISNUMBER(MATCH(AH57,'3347_FINAL'!$AH:$AH,0)),"YES","NO")</f>
        <v>NO</v>
      </c>
    </row>
    <row r="58" spans="1:35" x14ac:dyDescent="0.2">
      <c r="A58" t="s">
        <v>176</v>
      </c>
      <c r="B58">
        <v>71119772</v>
      </c>
      <c r="C58">
        <v>71119772</v>
      </c>
      <c r="D58" t="s">
        <v>45</v>
      </c>
      <c r="E58" t="s">
        <v>35</v>
      </c>
      <c r="F58" t="s">
        <v>36</v>
      </c>
      <c r="G58" t="s">
        <v>182</v>
      </c>
      <c r="H58" t="s">
        <v>38</v>
      </c>
      <c r="I58" t="s">
        <v>399</v>
      </c>
      <c r="J58" t="s">
        <v>233</v>
      </c>
      <c r="O58">
        <v>0.25</v>
      </c>
      <c r="P58" t="s">
        <v>41</v>
      </c>
      <c r="Q58" t="s">
        <v>41</v>
      </c>
      <c r="R58" t="s">
        <v>41</v>
      </c>
      <c r="S58" t="s">
        <v>41</v>
      </c>
      <c r="T58">
        <v>9.9999999999999995E-7</v>
      </c>
      <c r="U58" t="s">
        <v>42</v>
      </c>
      <c r="V58">
        <v>1</v>
      </c>
      <c r="W58" t="s">
        <v>43</v>
      </c>
      <c r="X58" t="s">
        <v>41</v>
      </c>
      <c r="Y58" t="s">
        <v>41</v>
      </c>
      <c r="Z58" t="s">
        <v>41</v>
      </c>
      <c r="AA58">
        <v>5.5</v>
      </c>
      <c r="AB58">
        <v>2.581</v>
      </c>
      <c r="AC58">
        <v>19.3691</v>
      </c>
      <c r="AD58">
        <v>41</v>
      </c>
      <c r="AE58" s="6" t="s">
        <v>521</v>
      </c>
      <c r="AF58">
        <v>1</v>
      </c>
      <c r="AG58" t="s">
        <v>44</v>
      </c>
      <c r="AH58" t="str">
        <f t="shared" si="0"/>
        <v>chr10_71119772_G_T</v>
      </c>
      <c r="AI58" s="2" t="str">
        <f>IF(ISNUMBER(MATCH(AH58,'3347_FINAL'!$AH:$AH,0)),"YES","NO")</f>
        <v>NO</v>
      </c>
    </row>
    <row r="59" spans="1:35" x14ac:dyDescent="0.2">
      <c r="A59" t="s">
        <v>176</v>
      </c>
      <c r="B59">
        <v>71160824</v>
      </c>
      <c r="C59">
        <v>71160824</v>
      </c>
      <c r="D59" t="s">
        <v>45</v>
      </c>
      <c r="E59" t="s">
        <v>43</v>
      </c>
      <c r="F59" t="s">
        <v>36</v>
      </c>
      <c r="G59" t="s">
        <v>182</v>
      </c>
      <c r="H59" t="s">
        <v>47</v>
      </c>
      <c r="I59" t="s">
        <v>398</v>
      </c>
      <c r="J59" t="s">
        <v>397</v>
      </c>
      <c r="O59">
        <v>0</v>
      </c>
      <c r="P59">
        <v>1</v>
      </c>
      <c r="Q59" t="s">
        <v>42</v>
      </c>
      <c r="R59">
        <v>1</v>
      </c>
      <c r="S59" t="s">
        <v>42</v>
      </c>
      <c r="T59">
        <v>0</v>
      </c>
      <c r="U59" t="s">
        <v>73</v>
      </c>
      <c r="V59">
        <v>0.99998299999999996</v>
      </c>
      <c r="W59" t="s">
        <v>42</v>
      </c>
      <c r="X59">
        <v>4.0350000000000001</v>
      </c>
      <c r="Y59" t="s">
        <v>52</v>
      </c>
      <c r="Z59">
        <v>-8.25</v>
      </c>
      <c r="AA59">
        <v>5.78</v>
      </c>
      <c r="AB59">
        <v>2.89</v>
      </c>
      <c r="AC59">
        <v>20.368099999999998</v>
      </c>
      <c r="AD59">
        <v>32</v>
      </c>
      <c r="AE59" t="s">
        <v>512</v>
      </c>
      <c r="AF59">
        <v>15</v>
      </c>
      <c r="AG59" t="s">
        <v>517</v>
      </c>
      <c r="AH59" t="str">
        <f t="shared" si="0"/>
        <v>chr10_71160824_G_A</v>
      </c>
      <c r="AI59" s="2" t="str">
        <f>IF(ISNUMBER(MATCH(AH59,'3347_FINAL'!$AH:$AH,0)),"YES","NO")</f>
        <v>NO</v>
      </c>
    </row>
    <row r="60" spans="1:35" x14ac:dyDescent="0.2">
      <c r="A60" t="s">
        <v>176</v>
      </c>
      <c r="B60">
        <v>73326672</v>
      </c>
      <c r="C60">
        <v>73326672</v>
      </c>
      <c r="D60" t="s">
        <v>34</v>
      </c>
      <c r="E60" t="s">
        <v>45</v>
      </c>
      <c r="F60" t="s">
        <v>36</v>
      </c>
      <c r="G60" t="s">
        <v>396</v>
      </c>
      <c r="H60" t="s">
        <v>38</v>
      </c>
      <c r="I60" t="s">
        <v>395</v>
      </c>
      <c r="J60" t="s">
        <v>394</v>
      </c>
      <c r="O60">
        <v>1</v>
      </c>
      <c r="P60" t="s">
        <v>41</v>
      </c>
      <c r="Q60" t="s">
        <v>41</v>
      </c>
      <c r="R60" t="s">
        <v>41</v>
      </c>
      <c r="S60" t="s">
        <v>41</v>
      </c>
      <c r="T60">
        <v>1.5E-5</v>
      </c>
      <c r="U60" t="s">
        <v>42</v>
      </c>
      <c r="V60">
        <v>1</v>
      </c>
      <c r="W60" t="s">
        <v>43</v>
      </c>
      <c r="X60" t="s">
        <v>41</v>
      </c>
      <c r="Y60" t="s">
        <v>41</v>
      </c>
      <c r="Z60" t="s">
        <v>41</v>
      </c>
      <c r="AA60">
        <v>3.73</v>
      </c>
      <c r="AB60">
        <v>1.385</v>
      </c>
      <c r="AC60">
        <v>9.8811</v>
      </c>
      <c r="AD60">
        <v>37</v>
      </c>
      <c r="AE60" t="s">
        <v>512</v>
      </c>
      <c r="AF60">
        <v>5</v>
      </c>
      <c r="AG60" t="s">
        <v>517</v>
      </c>
      <c r="AH60" t="str">
        <f t="shared" si="0"/>
        <v>chr10_73326672_C_G</v>
      </c>
      <c r="AI60" s="2" t="str">
        <f>IF(ISNUMBER(MATCH(AH60,'3347_FINAL'!$AH:$AH,0)),"YES","NO")</f>
        <v>NO</v>
      </c>
    </row>
    <row r="61" spans="1:35" x14ac:dyDescent="0.2">
      <c r="A61" t="s">
        <v>176</v>
      </c>
      <c r="B61">
        <v>102541113</v>
      </c>
      <c r="C61">
        <v>102541113</v>
      </c>
      <c r="D61" t="s">
        <v>34</v>
      </c>
      <c r="E61" t="s">
        <v>35</v>
      </c>
      <c r="F61" t="s">
        <v>36</v>
      </c>
      <c r="G61" t="s">
        <v>392</v>
      </c>
      <c r="H61" t="s">
        <v>47</v>
      </c>
      <c r="I61" t="s">
        <v>393</v>
      </c>
      <c r="J61" t="s">
        <v>390</v>
      </c>
      <c r="O61">
        <v>0.03</v>
      </c>
      <c r="P61">
        <v>1</v>
      </c>
      <c r="Q61" t="s">
        <v>42</v>
      </c>
      <c r="R61">
        <v>0.999</v>
      </c>
      <c r="S61" t="s">
        <v>42</v>
      </c>
      <c r="T61">
        <v>5.8215000000000003E-2</v>
      </c>
      <c r="U61" t="s">
        <v>73</v>
      </c>
      <c r="V61">
        <v>0.99985900000000005</v>
      </c>
      <c r="W61" t="s">
        <v>42</v>
      </c>
      <c r="X61">
        <v>2.34</v>
      </c>
      <c r="Y61" t="s">
        <v>50</v>
      </c>
      <c r="Z61">
        <v>-6.53</v>
      </c>
      <c r="AA61">
        <v>5.61</v>
      </c>
      <c r="AB61">
        <v>2.6379999999999999</v>
      </c>
      <c r="AC61">
        <v>18.631699999999999</v>
      </c>
      <c r="AD61">
        <v>34</v>
      </c>
      <c r="AE61" t="s">
        <v>512</v>
      </c>
      <c r="AF61">
        <v>10</v>
      </c>
      <c r="AG61" t="s">
        <v>517</v>
      </c>
      <c r="AH61" t="str">
        <f t="shared" si="0"/>
        <v>chr10_102541113_C_T</v>
      </c>
      <c r="AI61" s="2" t="str">
        <f>IF(ISNUMBER(MATCH(AH61,'3347_FINAL'!$AH:$AH,0)),"YES","NO")</f>
        <v>NO</v>
      </c>
    </row>
    <row r="62" spans="1:35" x14ac:dyDescent="0.2">
      <c r="A62" t="s">
        <v>176</v>
      </c>
      <c r="B62">
        <v>102541114</v>
      </c>
      <c r="C62">
        <v>102541114</v>
      </c>
      <c r="D62" t="s">
        <v>45</v>
      </c>
      <c r="E62" t="s">
        <v>43</v>
      </c>
      <c r="F62" t="s">
        <v>36</v>
      </c>
      <c r="G62" t="s">
        <v>392</v>
      </c>
      <c r="H62" t="s">
        <v>47</v>
      </c>
      <c r="I62" t="s">
        <v>391</v>
      </c>
      <c r="J62" t="s">
        <v>390</v>
      </c>
      <c r="M62">
        <v>5.0000000000000001E-4</v>
      </c>
      <c r="N62" t="s">
        <v>389</v>
      </c>
      <c r="O62">
        <v>0.11</v>
      </c>
      <c r="P62">
        <v>1</v>
      </c>
      <c r="Q62" t="s">
        <v>42</v>
      </c>
      <c r="R62">
        <v>0.999</v>
      </c>
      <c r="S62" t="s">
        <v>42</v>
      </c>
      <c r="T62">
        <v>5.8215000000000003E-2</v>
      </c>
      <c r="U62" t="s">
        <v>73</v>
      </c>
      <c r="V62">
        <v>0.99927500000000002</v>
      </c>
      <c r="W62" t="s">
        <v>42</v>
      </c>
      <c r="X62">
        <v>1.19</v>
      </c>
      <c r="Y62" t="s">
        <v>206</v>
      </c>
      <c r="Z62">
        <v>-6.5</v>
      </c>
      <c r="AA62">
        <v>5.61</v>
      </c>
      <c r="AB62">
        <v>2.6379999999999999</v>
      </c>
      <c r="AC62">
        <v>18.631699999999999</v>
      </c>
      <c r="AD62">
        <v>31</v>
      </c>
      <c r="AE62" t="s">
        <v>512</v>
      </c>
      <c r="AF62">
        <v>9</v>
      </c>
      <c r="AG62" t="s">
        <v>517</v>
      </c>
      <c r="AH62" t="str">
        <f t="shared" si="0"/>
        <v>chr10_102541114_G_A</v>
      </c>
      <c r="AI62" s="2" t="str">
        <f>IF(ISNUMBER(MATCH(AH62,'3347_FINAL'!$AH:$AH,0)),"YES","NO")</f>
        <v>NO</v>
      </c>
    </row>
    <row r="63" spans="1:35" x14ac:dyDescent="0.2">
      <c r="A63" t="s">
        <v>188</v>
      </c>
      <c r="B63">
        <v>8122398</v>
      </c>
      <c r="C63">
        <v>8122398</v>
      </c>
      <c r="D63" t="s">
        <v>45</v>
      </c>
      <c r="E63" t="s">
        <v>43</v>
      </c>
      <c r="F63" t="s">
        <v>36</v>
      </c>
      <c r="G63" t="s">
        <v>388</v>
      </c>
      <c r="H63" t="s">
        <v>38</v>
      </c>
      <c r="I63" t="s">
        <v>387</v>
      </c>
      <c r="J63" t="s">
        <v>386</v>
      </c>
      <c r="O63">
        <v>1</v>
      </c>
      <c r="P63" t="s">
        <v>41</v>
      </c>
      <c r="Q63" t="s">
        <v>41</v>
      </c>
      <c r="R63" t="s">
        <v>41</v>
      </c>
      <c r="S63" t="s">
        <v>41</v>
      </c>
      <c r="T63">
        <v>0</v>
      </c>
      <c r="U63" t="s">
        <v>42</v>
      </c>
      <c r="V63">
        <v>1</v>
      </c>
      <c r="W63" t="s">
        <v>43</v>
      </c>
      <c r="X63" t="s">
        <v>41</v>
      </c>
      <c r="Y63" t="s">
        <v>41</v>
      </c>
      <c r="Z63" t="s">
        <v>41</v>
      </c>
      <c r="AA63">
        <v>5.19</v>
      </c>
      <c r="AB63">
        <v>2.593</v>
      </c>
      <c r="AC63">
        <v>19.049600000000002</v>
      </c>
      <c r="AD63">
        <v>53</v>
      </c>
      <c r="AE63" t="s">
        <v>512</v>
      </c>
      <c r="AF63">
        <v>3</v>
      </c>
      <c r="AG63" t="s">
        <v>517</v>
      </c>
      <c r="AH63" t="str">
        <f t="shared" si="0"/>
        <v>chr11_8122398_G_A</v>
      </c>
      <c r="AI63" s="2" t="str">
        <f>IF(ISNUMBER(MATCH(AH63,'3347_FINAL'!$AH:$AH,0)),"YES","NO")</f>
        <v>NO</v>
      </c>
    </row>
    <row r="64" spans="1:35" x14ac:dyDescent="0.2">
      <c r="A64" t="s">
        <v>188</v>
      </c>
      <c r="B64">
        <v>12901321</v>
      </c>
      <c r="C64">
        <v>12901321</v>
      </c>
      <c r="D64" t="s">
        <v>45</v>
      </c>
      <c r="E64" t="s">
        <v>43</v>
      </c>
      <c r="F64" t="s">
        <v>36</v>
      </c>
      <c r="G64" t="s">
        <v>385</v>
      </c>
      <c r="H64" t="s">
        <v>47</v>
      </c>
      <c r="I64" t="s">
        <v>384</v>
      </c>
      <c r="J64" t="s">
        <v>383</v>
      </c>
      <c r="O64">
        <v>0.01</v>
      </c>
      <c r="P64">
        <v>0.999</v>
      </c>
      <c r="Q64" t="s">
        <v>42</v>
      </c>
      <c r="R64">
        <v>0.98799999999999999</v>
      </c>
      <c r="S64" t="s">
        <v>42</v>
      </c>
      <c r="T64">
        <v>0</v>
      </c>
      <c r="U64" t="s">
        <v>42</v>
      </c>
      <c r="V64">
        <v>0.99991300000000005</v>
      </c>
      <c r="W64" t="s">
        <v>42</v>
      </c>
      <c r="X64">
        <v>3.1749999999999998</v>
      </c>
      <c r="Y64" t="s">
        <v>50</v>
      </c>
      <c r="Z64">
        <v>1.31</v>
      </c>
      <c r="AA64">
        <v>6.06</v>
      </c>
      <c r="AB64">
        <v>2.871</v>
      </c>
      <c r="AC64">
        <v>20.223299999999998</v>
      </c>
      <c r="AD64">
        <v>32</v>
      </c>
      <c r="AE64" t="s">
        <v>512</v>
      </c>
      <c r="AF64">
        <v>3</v>
      </c>
      <c r="AG64" t="s">
        <v>517</v>
      </c>
      <c r="AH64" t="str">
        <f t="shared" si="0"/>
        <v>chr11_12901321_G_A</v>
      </c>
      <c r="AI64" s="2" t="str">
        <f>IF(ISNUMBER(MATCH(AH64,'3347_FINAL'!$AH:$AH,0)),"YES","NO")</f>
        <v>NO</v>
      </c>
    </row>
    <row r="65" spans="1:35" x14ac:dyDescent="0.2">
      <c r="A65" t="s">
        <v>188</v>
      </c>
      <c r="B65">
        <v>17532018</v>
      </c>
      <c r="C65">
        <v>17532018</v>
      </c>
      <c r="D65" t="s">
        <v>43</v>
      </c>
      <c r="E65" t="s">
        <v>35</v>
      </c>
      <c r="F65" t="s">
        <v>36</v>
      </c>
      <c r="G65" t="s">
        <v>382</v>
      </c>
      <c r="H65" t="s">
        <v>38</v>
      </c>
      <c r="I65" t="s">
        <v>381</v>
      </c>
      <c r="J65" t="s">
        <v>380</v>
      </c>
      <c r="O65">
        <v>1</v>
      </c>
      <c r="P65" t="s">
        <v>41</v>
      </c>
      <c r="Q65" t="s">
        <v>41</v>
      </c>
      <c r="R65" t="s">
        <v>41</v>
      </c>
      <c r="S65" t="s">
        <v>41</v>
      </c>
      <c r="T65">
        <v>3.1448999999999998E-2</v>
      </c>
      <c r="U65" t="s">
        <v>73</v>
      </c>
      <c r="V65">
        <v>1</v>
      </c>
      <c r="W65" t="s">
        <v>43</v>
      </c>
      <c r="X65" t="s">
        <v>41</v>
      </c>
      <c r="Y65" t="s">
        <v>41</v>
      </c>
      <c r="Z65" t="s">
        <v>41</v>
      </c>
      <c r="AA65">
        <v>-3.54</v>
      </c>
      <c r="AB65">
        <v>-0.56799999999999995</v>
      </c>
      <c r="AC65">
        <v>14.1851</v>
      </c>
      <c r="AD65">
        <v>35</v>
      </c>
      <c r="AE65" s="6" t="s">
        <v>521</v>
      </c>
      <c r="AF65">
        <v>1</v>
      </c>
      <c r="AG65" t="s">
        <v>44</v>
      </c>
      <c r="AH65" t="str">
        <f t="shared" si="0"/>
        <v>chr11_17532018_A_T</v>
      </c>
      <c r="AI65" s="2" t="str">
        <f>IF(ISNUMBER(MATCH(AH65,'3347_FINAL'!$AH:$AH,0)),"YES","NO")</f>
        <v>NO</v>
      </c>
    </row>
    <row r="66" spans="1:35" x14ac:dyDescent="0.2">
      <c r="A66" t="s">
        <v>188</v>
      </c>
      <c r="B66">
        <v>59540767</v>
      </c>
      <c r="C66">
        <v>59540767</v>
      </c>
      <c r="D66" t="s">
        <v>45</v>
      </c>
      <c r="E66" t="s">
        <v>35</v>
      </c>
      <c r="F66" t="s">
        <v>36</v>
      </c>
      <c r="G66" t="s">
        <v>379</v>
      </c>
      <c r="H66" t="s">
        <v>47</v>
      </c>
      <c r="I66" t="s">
        <v>378</v>
      </c>
      <c r="J66" t="s">
        <v>377</v>
      </c>
      <c r="O66">
        <v>0.08</v>
      </c>
      <c r="P66">
        <v>0.86599999999999999</v>
      </c>
      <c r="Q66" t="s">
        <v>117</v>
      </c>
      <c r="R66">
        <v>0.48899999999999999</v>
      </c>
      <c r="S66" t="s">
        <v>117</v>
      </c>
      <c r="T66">
        <v>9.9999999999999995E-7</v>
      </c>
      <c r="U66" t="s">
        <v>42</v>
      </c>
      <c r="V66" t="s">
        <v>41</v>
      </c>
      <c r="W66" t="s">
        <v>41</v>
      </c>
      <c r="X66">
        <v>1.385</v>
      </c>
      <c r="Y66" t="s">
        <v>206</v>
      </c>
      <c r="Z66">
        <v>2.21</v>
      </c>
      <c r="AA66">
        <v>5.21</v>
      </c>
      <c r="AB66">
        <v>2.7080000000000002</v>
      </c>
      <c r="AC66">
        <v>14.119</v>
      </c>
      <c r="AD66">
        <v>33</v>
      </c>
      <c r="AE66" t="s">
        <v>512</v>
      </c>
      <c r="AF66">
        <v>17</v>
      </c>
      <c r="AG66" t="s">
        <v>517</v>
      </c>
      <c r="AH66" t="str">
        <f t="shared" si="0"/>
        <v>chr11_59540767_G_T</v>
      </c>
      <c r="AI66" s="2" t="str">
        <f>IF(ISNUMBER(MATCH(AH66,'3347_FINAL'!$AH:$AH,0)),"YES","NO")</f>
        <v>NO</v>
      </c>
    </row>
    <row r="67" spans="1:35" x14ac:dyDescent="0.2">
      <c r="A67" t="s">
        <v>188</v>
      </c>
      <c r="B67">
        <v>64519517</v>
      </c>
      <c r="C67">
        <v>64519517</v>
      </c>
      <c r="D67" t="s">
        <v>45</v>
      </c>
      <c r="E67" t="s">
        <v>34</v>
      </c>
      <c r="F67" t="s">
        <v>36</v>
      </c>
      <c r="G67" t="s">
        <v>376</v>
      </c>
      <c r="H67" t="s">
        <v>38</v>
      </c>
      <c r="I67" t="s">
        <v>375</v>
      </c>
      <c r="J67" t="s">
        <v>374</v>
      </c>
      <c r="O67">
        <v>1</v>
      </c>
      <c r="P67" t="s">
        <v>41</v>
      </c>
      <c r="Q67" t="s">
        <v>41</v>
      </c>
      <c r="R67" t="s">
        <v>41</v>
      </c>
      <c r="S67" t="s">
        <v>41</v>
      </c>
      <c r="T67">
        <v>9.2E-5</v>
      </c>
      <c r="U67" t="s">
        <v>42</v>
      </c>
      <c r="V67">
        <v>1</v>
      </c>
      <c r="W67" t="s">
        <v>43</v>
      </c>
      <c r="X67" t="s">
        <v>41</v>
      </c>
      <c r="Y67" t="s">
        <v>41</v>
      </c>
      <c r="Z67" t="s">
        <v>41</v>
      </c>
      <c r="AA67">
        <v>2.64</v>
      </c>
      <c r="AB67">
        <v>0.66700000000000004</v>
      </c>
      <c r="AC67">
        <v>7.6311999999999998</v>
      </c>
      <c r="AD67">
        <v>36</v>
      </c>
      <c r="AE67" t="s">
        <v>512</v>
      </c>
      <c r="AF67">
        <v>9</v>
      </c>
      <c r="AG67" t="s">
        <v>517</v>
      </c>
      <c r="AH67" t="str">
        <f t="shared" ref="AH67:AH111" si="1">A67&amp;"_"&amp;B67&amp;"_"&amp;D67&amp;"_"&amp;E67</f>
        <v>chr11_64519517_G_C</v>
      </c>
      <c r="AI67" s="2" t="str">
        <f>IF(ISNUMBER(MATCH(AH67,'3347_FINAL'!$AH:$AH,0)),"YES","NO")</f>
        <v>NO</v>
      </c>
    </row>
    <row r="68" spans="1:35" x14ac:dyDescent="0.2">
      <c r="A68" t="s">
        <v>188</v>
      </c>
      <c r="B68">
        <v>86663043</v>
      </c>
      <c r="C68">
        <v>86663043</v>
      </c>
      <c r="D68" t="s">
        <v>35</v>
      </c>
      <c r="E68" t="s">
        <v>43</v>
      </c>
      <c r="F68" t="s">
        <v>36</v>
      </c>
      <c r="G68" t="s">
        <v>373</v>
      </c>
      <c r="H68" t="s">
        <v>47</v>
      </c>
      <c r="I68" t="s">
        <v>372</v>
      </c>
      <c r="J68" t="s">
        <v>371</v>
      </c>
      <c r="O68" t="s">
        <v>41</v>
      </c>
      <c r="P68">
        <v>1</v>
      </c>
      <c r="Q68" t="s">
        <v>42</v>
      </c>
      <c r="R68">
        <v>0.999</v>
      </c>
      <c r="S68" t="s">
        <v>42</v>
      </c>
      <c r="T68">
        <v>0</v>
      </c>
      <c r="U68" t="s">
        <v>42</v>
      </c>
      <c r="V68">
        <v>0.99963299999999999</v>
      </c>
      <c r="W68" t="s">
        <v>42</v>
      </c>
      <c r="X68">
        <v>3.16</v>
      </c>
      <c r="Y68" t="s">
        <v>50</v>
      </c>
      <c r="Z68">
        <v>-2.0499999999999998</v>
      </c>
      <c r="AA68">
        <v>5.69</v>
      </c>
      <c r="AB68">
        <v>2.17</v>
      </c>
      <c r="AC68">
        <v>15.9544</v>
      </c>
      <c r="AD68">
        <v>32</v>
      </c>
      <c r="AE68" t="s">
        <v>512</v>
      </c>
      <c r="AF68">
        <v>6</v>
      </c>
      <c r="AG68" t="s">
        <v>517</v>
      </c>
      <c r="AH68" t="str">
        <f t="shared" si="1"/>
        <v>chr11_86663043_T_A</v>
      </c>
      <c r="AI68" s="2" t="str">
        <f>IF(ISNUMBER(MATCH(AH68,'3347_FINAL'!$AH:$AH,0)),"YES","NO")</f>
        <v>NO</v>
      </c>
    </row>
    <row r="69" spans="1:35" x14ac:dyDescent="0.2">
      <c r="A69" t="s">
        <v>188</v>
      </c>
      <c r="B69">
        <v>103182625</v>
      </c>
      <c r="C69">
        <v>103182625</v>
      </c>
      <c r="D69" t="s">
        <v>43</v>
      </c>
      <c r="E69" t="s">
        <v>35</v>
      </c>
      <c r="F69" t="s">
        <v>36</v>
      </c>
      <c r="G69" t="s">
        <v>191</v>
      </c>
      <c r="H69" t="s">
        <v>38</v>
      </c>
      <c r="I69" t="s">
        <v>370</v>
      </c>
      <c r="J69" t="s">
        <v>369</v>
      </c>
      <c r="O69">
        <v>0.56000000000000005</v>
      </c>
      <c r="P69" t="s">
        <v>41</v>
      </c>
      <c r="Q69" t="s">
        <v>41</v>
      </c>
      <c r="R69" t="s">
        <v>41</v>
      </c>
      <c r="S69" t="s">
        <v>41</v>
      </c>
      <c r="T69">
        <v>0</v>
      </c>
      <c r="U69" t="s">
        <v>42</v>
      </c>
      <c r="V69">
        <v>1</v>
      </c>
      <c r="W69" t="s">
        <v>43</v>
      </c>
      <c r="X69" t="s">
        <v>41</v>
      </c>
      <c r="Y69" t="s">
        <v>41</v>
      </c>
      <c r="Z69" t="s">
        <v>41</v>
      </c>
      <c r="AA69">
        <v>4.6900000000000004</v>
      </c>
      <c r="AB69">
        <v>1.7430000000000001</v>
      </c>
      <c r="AC69">
        <v>14.1533</v>
      </c>
      <c r="AD69">
        <v>53</v>
      </c>
      <c r="AE69" t="s">
        <v>512</v>
      </c>
      <c r="AF69">
        <v>7</v>
      </c>
      <c r="AG69" t="s">
        <v>517</v>
      </c>
      <c r="AH69" t="str">
        <f t="shared" si="1"/>
        <v>chr11_103182625_A_T</v>
      </c>
      <c r="AI69" s="2" t="str">
        <f>IF(ISNUMBER(MATCH(AH69,'3347_FINAL'!$AH:$AH,0)),"YES","NO")</f>
        <v>NO</v>
      </c>
    </row>
    <row r="70" spans="1:35" x14ac:dyDescent="0.2">
      <c r="A70" t="s">
        <v>194</v>
      </c>
      <c r="B70">
        <v>48377904</v>
      </c>
      <c r="C70">
        <v>48377904</v>
      </c>
      <c r="D70" t="s">
        <v>34</v>
      </c>
      <c r="E70" t="s">
        <v>43</v>
      </c>
      <c r="F70" t="s">
        <v>36</v>
      </c>
      <c r="G70" t="s">
        <v>365</v>
      </c>
      <c r="H70" t="s">
        <v>47</v>
      </c>
      <c r="I70" t="s">
        <v>368</v>
      </c>
      <c r="J70" t="s">
        <v>367</v>
      </c>
      <c r="O70">
        <v>0</v>
      </c>
      <c r="P70">
        <v>0.84</v>
      </c>
      <c r="Q70" t="s">
        <v>117</v>
      </c>
      <c r="R70">
        <v>0.64700000000000002</v>
      </c>
      <c r="S70" t="s">
        <v>117</v>
      </c>
      <c r="T70">
        <v>1.0399999999999999E-4</v>
      </c>
      <c r="U70" t="s">
        <v>42</v>
      </c>
      <c r="V70">
        <v>0.99996200000000002</v>
      </c>
      <c r="W70" t="s">
        <v>42</v>
      </c>
      <c r="X70">
        <v>3.67</v>
      </c>
      <c r="Y70" t="s">
        <v>52</v>
      </c>
      <c r="Z70">
        <v>-3.95</v>
      </c>
      <c r="AA70">
        <v>5.18</v>
      </c>
      <c r="AB70">
        <v>2.6880000000000002</v>
      </c>
      <c r="AC70">
        <v>17.622199999999999</v>
      </c>
      <c r="AD70">
        <v>32</v>
      </c>
      <c r="AE70" s="6" t="s">
        <v>521</v>
      </c>
      <c r="AF70">
        <v>1</v>
      </c>
      <c r="AG70" t="s">
        <v>44</v>
      </c>
      <c r="AH70" t="str">
        <f t="shared" si="1"/>
        <v>chr12_48377904_C_A</v>
      </c>
      <c r="AI70" s="2" t="str">
        <f>IF(ISNUMBER(MATCH(AH70,'3347_FINAL'!$AH:$AH,0)),"YES","NO")</f>
        <v>NO</v>
      </c>
    </row>
    <row r="71" spans="1:35" x14ac:dyDescent="0.2">
      <c r="A71" t="s">
        <v>194</v>
      </c>
      <c r="B71">
        <v>48380856</v>
      </c>
      <c r="C71">
        <v>48380856</v>
      </c>
      <c r="D71" t="s">
        <v>34</v>
      </c>
      <c r="E71" t="s">
        <v>43</v>
      </c>
      <c r="F71" t="s">
        <v>347</v>
      </c>
      <c r="G71" t="s">
        <v>365</v>
      </c>
      <c r="J71" t="s">
        <v>366</v>
      </c>
      <c r="AD71">
        <v>34</v>
      </c>
      <c r="AE71" t="s">
        <v>512</v>
      </c>
      <c r="AF71">
        <v>12</v>
      </c>
      <c r="AG71" t="s">
        <v>517</v>
      </c>
      <c r="AH71" t="str">
        <f t="shared" si="1"/>
        <v>chr12_48380856_C_A</v>
      </c>
      <c r="AI71" s="2" t="str">
        <f>IF(ISNUMBER(MATCH(AH71,'3347_FINAL'!$AH:$AH,0)),"YES","NO")</f>
        <v>NO</v>
      </c>
    </row>
    <row r="72" spans="1:35" x14ac:dyDescent="0.2">
      <c r="A72" t="s">
        <v>194</v>
      </c>
      <c r="B72">
        <v>48391841</v>
      </c>
      <c r="C72">
        <v>48391841</v>
      </c>
      <c r="D72" t="s">
        <v>34</v>
      </c>
      <c r="E72" t="s">
        <v>43</v>
      </c>
      <c r="F72" t="s">
        <v>36</v>
      </c>
      <c r="G72" t="s">
        <v>365</v>
      </c>
      <c r="H72" t="s">
        <v>38</v>
      </c>
      <c r="I72" t="s">
        <v>364</v>
      </c>
      <c r="J72" t="s">
        <v>363</v>
      </c>
      <c r="O72">
        <v>0</v>
      </c>
      <c r="P72" t="s">
        <v>41</v>
      </c>
      <c r="Q72" t="s">
        <v>41</v>
      </c>
      <c r="R72" t="s">
        <v>41</v>
      </c>
      <c r="S72" t="s">
        <v>41</v>
      </c>
      <c r="T72">
        <v>0</v>
      </c>
      <c r="U72" t="s">
        <v>42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>
        <v>5.04</v>
      </c>
      <c r="AB72">
        <v>2.5310000000000001</v>
      </c>
      <c r="AC72">
        <v>17.534600000000001</v>
      </c>
      <c r="AD72">
        <v>38</v>
      </c>
      <c r="AE72" t="s">
        <v>512</v>
      </c>
      <c r="AF72">
        <v>4</v>
      </c>
      <c r="AG72" t="s">
        <v>517</v>
      </c>
      <c r="AH72" t="str">
        <f t="shared" si="1"/>
        <v>chr12_48391841_C_A</v>
      </c>
      <c r="AI72" s="2" t="str">
        <f>IF(ISNUMBER(MATCH(AH72,'3347_FINAL'!$AH:$AH,0)),"YES","NO")</f>
        <v>NO</v>
      </c>
    </row>
    <row r="73" spans="1:35" x14ac:dyDescent="0.2">
      <c r="A73" t="s">
        <v>194</v>
      </c>
      <c r="B73">
        <v>88443191</v>
      </c>
      <c r="C73">
        <v>88443191</v>
      </c>
      <c r="D73" t="s">
        <v>34</v>
      </c>
      <c r="E73" t="s">
        <v>35</v>
      </c>
      <c r="F73" t="s">
        <v>36</v>
      </c>
      <c r="G73" t="s">
        <v>195</v>
      </c>
      <c r="H73" t="s">
        <v>47</v>
      </c>
      <c r="I73" t="s">
        <v>362</v>
      </c>
      <c r="J73" t="s">
        <v>361</v>
      </c>
      <c r="K73" t="s">
        <v>360</v>
      </c>
      <c r="O73">
        <v>0.34</v>
      </c>
      <c r="P73">
        <v>0.98099999999999998</v>
      </c>
      <c r="Q73" t="s">
        <v>42</v>
      </c>
      <c r="R73">
        <v>0.67600000000000005</v>
      </c>
      <c r="S73" t="s">
        <v>117</v>
      </c>
      <c r="T73">
        <v>1.4319999999999999E-3</v>
      </c>
      <c r="U73" t="s">
        <v>73</v>
      </c>
      <c r="V73" t="s">
        <v>41</v>
      </c>
      <c r="W73" t="s">
        <v>41</v>
      </c>
      <c r="X73">
        <v>2.08</v>
      </c>
      <c r="Y73" t="s">
        <v>50</v>
      </c>
      <c r="Z73">
        <v>-0.18</v>
      </c>
      <c r="AA73">
        <v>5.67</v>
      </c>
      <c r="AB73">
        <v>2.6619999999999999</v>
      </c>
      <c r="AC73">
        <v>19.7607</v>
      </c>
      <c r="AD73">
        <v>34</v>
      </c>
      <c r="AE73" s="6" t="s">
        <v>521</v>
      </c>
      <c r="AF73">
        <v>4</v>
      </c>
      <c r="AG73" t="s">
        <v>44</v>
      </c>
      <c r="AH73" t="str">
        <f t="shared" si="1"/>
        <v>chr12_88443191_C_T</v>
      </c>
      <c r="AI73" s="2" t="str">
        <f>IF(ISNUMBER(MATCH(AH73,'3347_FINAL'!$AH:$AH,0)),"YES","NO")</f>
        <v>NO</v>
      </c>
    </row>
    <row r="74" spans="1:35" x14ac:dyDescent="0.2">
      <c r="A74" t="s">
        <v>194</v>
      </c>
      <c r="B74">
        <v>120960022</v>
      </c>
      <c r="C74">
        <v>120960022</v>
      </c>
      <c r="D74" t="s">
        <v>34</v>
      </c>
      <c r="E74" t="s">
        <v>35</v>
      </c>
      <c r="F74" t="s">
        <v>36</v>
      </c>
      <c r="G74" t="s">
        <v>356</v>
      </c>
      <c r="H74" t="s">
        <v>47</v>
      </c>
      <c r="I74" t="s">
        <v>359</v>
      </c>
      <c r="J74" t="s">
        <v>354</v>
      </c>
      <c r="O74">
        <v>0</v>
      </c>
      <c r="P74">
        <v>1</v>
      </c>
      <c r="Q74" t="s">
        <v>42</v>
      </c>
      <c r="R74">
        <v>1</v>
      </c>
      <c r="S74" t="s">
        <v>42</v>
      </c>
      <c r="T74">
        <v>9.9999999999999995E-7</v>
      </c>
      <c r="U74" t="s">
        <v>42</v>
      </c>
      <c r="V74">
        <v>0.99999899999999997</v>
      </c>
      <c r="W74" t="s">
        <v>42</v>
      </c>
      <c r="X74">
        <v>4.42</v>
      </c>
      <c r="Y74" t="s">
        <v>52</v>
      </c>
      <c r="Z74">
        <v>-3.73</v>
      </c>
      <c r="AA74">
        <v>5.71</v>
      </c>
      <c r="AB74">
        <v>2.6989999999999998</v>
      </c>
      <c r="AC74">
        <v>19.464400000000001</v>
      </c>
      <c r="AD74">
        <v>32</v>
      </c>
      <c r="AE74" t="s">
        <v>512</v>
      </c>
      <c r="AF74">
        <v>10</v>
      </c>
      <c r="AG74" t="s">
        <v>517</v>
      </c>
      <c r="AH74" t="str">
        <f t="shared" si="1"/>
        <v>chr12_120960022_C_T</v>
      </c>
      <c r="AI74" s="2" t="str">
        <f>IF(ISNUMBER(MATCH(AH74,'3347_FINAL'!$AH:$AH,0)),"YES","NO")</f>
        <v>NO</v>
      </c>
    </row>
    <row r="75" spans="1:35" x14ac:dyDescent="0.2">
      <c r="A75" t="s">
        <v>194</v>
      </c>
      <c r="B75">
        <v>120960023</v>
      </c>
      <c r="C75">
        <v>120960023</v>
      </c>
      <c r="D75" t="s">
        <v>34</v>
      </c>
      <c r="E75" t="s">
        <v>35</v>
      </c>
      <c r="F75" t="s">
        <v>36</v>
      </c>
      <c r="G75" t="s">
        <v>356</v>
      </c>
      <c r="H75" t="s">
        <v>47</v>
      </c>
      <c r="I75" t="s">
        <v>358</v>
      </c>
      <c r="J75" t="s">
        <v>354</v>
      </c>
      <c r="O75">
        <v>0</v>
      </c>
      <c r="P75">
        <v>1</v>
      </c>
      <c r="Q75" t="s">
        <v>42</v>
      </c>
      <c r="R75">
        <v>1</v>
      </c>
      <c r="S75" t="s">
        <v>42</v>
      </c>
      <c r="T75">
        <v>9.9999999999999995E-7</v>
      </c>
      <c r="U75" t="s">
        <v>73</v>
      </c>
      <c r="V75">
        <v>0.99999700000000002</v>
      </c>
      <c r="W75" t="s">
        <v>42</v>
      </c>
      <c r="X75">
        <v>4.42</v>
      </c>
      <c r="Y75" t="s">
        <v>52</v>
      </c>
      <c r="Z75">
        <v>-3.71</v>
      </c>
      <c r="AA75">
        <v>5.71</v>
      </c>
      <c r="AB75">
        <v>2.6989999999999998</v>
      </c>
      <c r="AC75">
        <v>19.464400000000001</v>
      </c>
      <c r="AD75">
        <v>32</v>
      </c>
      <c r="AE75" t="s">
        <v>512</v>
      </c>
      <c r="AF75">
        <v>10</v>
      </c>
      <c r="AG75" t="s">
        <v>517</v>
      </c>
      <c r="AH75" t="str">
        <f t="shared" si="1"/>
        <v>chr12_120960023_C_T</v>
      </c>
      <c r="AI75" s="2" t="str">
        <f>IF(ISNUMBER(MATCH(AH75,'3347_FINAL'!$AH:$AH,0)),"YES","NO")</f>
        <v>NO</v>
      </c>
    </row>
    <row r="76" spans="1:35" x14ac:dyDescent="0.2">
      <c r="A76" t="s">
        <v>194</v>
      </c>
      <c r="B76">
        <v>120960025</v>
      </c>
      <c r="C76">
        <v>120960025</v>
      </c>
      <c r="D76" t="s">
        <v>34</v>
      </c>
      <c r="E76" t="s">
        <v>43</v>
      </c>
      <c r="F76" t="s">
        <v>36</v>
      </c>
      <c r="G76" t="s">
        <v>356</v>
      </c>
      <c r="H76" t="s">
        <v>47</v>
      </c>
      <c r="I76" t="s">
        <v>357</v>
      </c>
      <c r="J76" t="s">
        <v>354</v>
      </c>
      <c r="O76">
        <v>0</v>
      </c>
      <c r="P76">
        <v>1</v>
      </c>
      <c r="Q76" t="s">
        <v>42</v>
      </c>
      <c r="R76">
        <v>1</v>
      </c>
      <c r="S76" t="s">
        <v>42</v>
      </c>
      <c r="T76">
        <v>0</v>
      </c>
      <c r="U76" t="s">
        <v>42</v>
      </c>
      <c r="V76">
        <v>0.99999899999999997</v>
      </c>
      <c r="W76" t="s">
        <v>42</v>
      </c>
      <c r="X76">
        <v>2.875</v>
      </c>
      <c r="Y76" t="s">
        <v>50</v>
      </c>
      <c r="Z76">
        <v>-0.44</v>
      </c>
      <c r="AA76">
        <v>5.71</v>
      </c>
      <c r="AB76">
        <v>2.6989999999999998</v>
      </c>
      <c r="AC76">
        <v>19.464400000000001</v>
      </c>
      <c r="AD76">
        <v>33</v>
      </c>
      <c r="AE76" t="s">
        <v>512</v>
      </c>
      <c r="AF76">
        <v>10</v>
      </c>
      <c r="AG76" t="s">
        <v>517</v>
      </c>
      <c r="AH76" t="str">
        <f t="shared" si="1"/>
        <v>chr12_120960025_C_A</v>
      </c>
      <c r="AI76" s="2" t="str">
        <f>IF(ISNUMBER(MATCH(AH76,'3347_FINAL'!$AH:$AH,0)),"YES","NO")</f>
        <v>NO</v>
      </c>
    </row>
    <row r="77" spans="1:35" x14ac:dyDescent="0.2">
      <c r="A77" t="s">
        <v>194</v>
      </c>
      <c r="B77">
        <v>120960026</v>
      </c>
      <c r="C77">
        <v>120960026</v>
      </c>
      <c r="D77" t="s">
        <v>34</v>
      </c>
      <c r="E77" t="s">
        <v>35</v>
      </c>
      <c r="F77" t="s">
        <v>36</v>
      </c>
      <c r="G77" t="s">
        <v>356</v>
      </c>
      <c r="H77" t="s">
        <v>47</v>
      </c>
      <c r="I77" t="s">
        <v>355</v>
      </c>
      <c r="J77" t="s">
        <v>354</v>
      </c>
      <c r="O77">
        <v>0</v>
      </c>
      <c r="P77">
        <v>1</v>
      </c>
      <c r="Q77" t="s">
        <v>42</v>
      </c>
      <c r="R77">
        <v>1</v>
      </c>
      <c r="S77" t="s">
        <v>42</v>
      </c>
      <c r="T77">
        <v>0</v>
      </c>
      <c r="U77" t="s">
        <v>42</v>
      </c>
      <c r="V77">
        <v>0.99999899999999997</v>
      </c>
      <c r="W77" t="s">
        <v>42</v>
      </c>
      <c r="X77">
        <v>3.85</v>
      </c>
      <c r="Y77" t="s">
        <v>52</v>
      </c>
      <c r="Z77">
        <v>-0.47</v>
      </c>
      <c r="AA77">
        <v>5.71</v>
      </c>
      <c r="AB77">
        <v>2.6989999999999998</v>
      </c>
      <c r="AC77">
        <v>19.464400000000001</v>
      </c>
      <c r="AD77">
        <v>33</v>
      </c>
      <c r="AE77" t="s">
        <v>512</v>
      </c>
      <c r="AF77">
        <v>10</v>
      </c>
      <c r="AG77" t="s">
        <v>517</v>
      </c>
      <c r="AH77" t="str">
        <f t="shared" si="1"/>
        <v>chr12_120960026_C_T</v>
      </c>
      <c r="AI77" s="2" t="str">
        <f>IF(ISNUMBER(MATCH(AH77,'3347_FINAL'!$AH:$AH,0)),"YES","NO")</f>
        <v>NO</v>
      </c>
    </row>
    <row r="78" spans="1:35" x14ac:dyDescent="0.2">
      <c r="A78" t="s">
        <v>194</v>
      </c>
      <c r="B78">
        <v>123741553</v>
      </c>
      <c r="C78">
        <v>123741553</v>
      </c>
      <c r="D78" t="s">
        <v>45</v>
      </c>
      <c r="E78" t="s">
        <v>43</v>
      </c>
      <c r="F78" t="s">
        <v>36</v>
      </c>
      <c r="G78" t="s">
        <v>353</v>
      </c>
      <c r="H78" t="s">
        <v>38</v>
      </c>
      <c r="I78" t="s">
        <v>352</v>
      </c>
      <c r="J78" t="s">
        <v>351</v>
      </c>
      <c r="O78">
        <v>0.16</v>
      </c>
      <c r="P78" t="s">
        <v>41</v>
      </c>
      <c r="Q78" t="s">
        <v>41</v>
      </c>
      <c r="R78" t="s">
        <v>41</v>
      </c>
      <c r="S78" t="s">
        <v>41</v>
      </c>
      <c r="T78">
        <v>0.125804</v>
      </c>
      <c r="U78" t="s">
        <v>73</v>
      </c>
      <c r="V78">
        <v>0.967719</v>
      </c>
      <c r="W78" t="s">
        <v>42</v>
      </c>
      <c r="X78" t="s">
        <v>41</v>
      </c>
      <c r="Y78" t="s">
        <v>41</v>
      </c>
      <c r="Z78" t="s">
        <v>41</v>
      </c>
      <c r="AA78">
        <v>4.24</v>
      </c>
      <c r="AB78">
        <v>2.7839999999999998</v>
      </c>
      <c r="AC78">
        <v>6.9080000000000004</v>
      </c>
      <c r="AD78">
        <v>36</v>
      </c>
      <c r="AE78" t="s">
        <v>512</v>
      </c>
      <c r="AF78">
        <v>11</v>
      </c>
      <c r="AG78" t="s">
        <v>517</v>
      </c>
      <c r="AH78" t="str">
        <f t="shared" si="1"/>
        <v>chr12_123741553_G_A</v>
      </c>
      <c r="AI78" s="2" t="str">
        <f>IF(ISNUMBER(MATCH(AH78,'3347_FINAL'!$AH:$AH,0)),"YES","NO")</f>
        <v>NO</v>
      </c>
    </row>
    <row r="79" spans="1:35" x14ac:dyDescent="0.2">
      <c r="A79" t="s">
        <v>198</v>
      </c>
      <c r="B79">
        <v>42439892</v>
      </c>
      <c r="C79">
        <v>42439892</v>
      </c>
      <c r="D79" t="s">
        <v>34</v>
      </c>
      <c r="E79" t="s">
        <v>43</v>
      </c>
      <c r="F79" t="s">
        <v>36</v>
      </c>
      <c r="G79" t="s">
        <v>350</v>
      </c>
      <c r="H79" t="s">
        <v>38</v>
      </c>
      <c r="I79" t="s">
        <v>349</v>
      </c>
      <c r="J79" t="s">
        <v>348</v>
      </c>
      <c r="O79">
        <v>0.1</v>
      </c>
      <c r="P79" t="s">
        <v>41</v>
      </c>
      <c r="Q79" t="s">
        <v>41</v>
      </c>
      <c r="R79" t="s">
        <v>41</v>
      </c>
      <c r="S79" t="s">
        <v>41</v>
      </c>
      <c r="T79">
        <v>9.9999999999999995E-7</v>
      </c>
      <c r="U79" t="s">
        <v>42</v>
      </c>
      <c r="V79">
        <v>1</v>
      </c>
      <c r="W79" t="s">
        <v>43</v>
      </c>
      <c r="X79" t="s">
        <v>41</v>
      </c>
      <c r="Y79" t="s">
        <v>41</v>
      </c>
      <c r="Z79" t="s">
        <v>41</v>
      </c>
      <c r="AA79">
        <v>5.3</v>
      </c>
      <c r="AB79">
        <v>2.6309999999999998</v>
      </c>
      <c r="AC79">
        <v>19.314900000000002</v>
      </c>
      <c r="AD79">
        <v>40</v>
      </c>
      <c r="AE79" t="s">
        <v>512</v>
      </c>
      <c r="AF79">
        <v>9</v>
      </c>
      <c r="AG79" t="s">
        <v>517</v>
      </c>
      <c r="AH79" t="str">
        <f t="shared" si="1"/>
        <v>chr13_42439892_C_A</v>
      </c>
      <c r="AI79" s="2" t="str">
        <f>IF(ISNUMBER(MATCH(AH79,'3347_FINAL'!$AH:$AH,0)),"YES","NO")</f>
        <v>NO</v>
      </c>
    </row>
    <row r="80" spans="1:35" x14ac:dyDescent="0.2">
      <c r="A80" t="s">
        <v>198</v>
      </c>
      <c r="B80">
        <v>49030329</v>
      </c>
      <c r="C80">
        <v>49030329</v>
      </c>
      <c r="D80" t="s">
        <v>43</v>
      </c>
      <c r="E80" t="s">
        <v>45</v>
      </c>
      <c r="F80" t="s">
        <v>347</v>
      </c>
      <c r="G80" t="s">
        <v>346</v>
      </c>
      <c r="J80" t="s">
        <v>345</v>
      </c>
      <c r="AD80">
        <v>33</v>
      </c>
      <c r="AE80" t="s">
        <v>512</v>
      </c>
      <c r="AF80">
        <v>12</v>
      </c>
      <c r="AG80" t="s">
        <v>517</v>
      </c>
      <c r="AH80" t="str">
        <f t="shared" si="1"/>
        <v>chr13_49030329_A_G</v>
      </c>
      <c r="AI80" s="2" t="str">
        <f>IF(ISNUMBER(MATCH(AH80,'3347_FINAL'!$AH:$AH,0)),"YES","NO")</f>
        <v>NO</v>
      </c>
    </row>
    <row r="81" spans="1:35" x14ac:dyDescent="0.2">
      <c r="A81" t="s">
        <v>198</v>
      </c>
      <c r="B81">
        <v>49030331</v>
      </c>
      <c r="C81">
        <v>49030331</v>
      </c>
      <c r="D81" t="s">
        <v>35</v>
      </c>
      <c r="E81" t="s">
        <v>45</v>
      </c>
      <c r="F81" t="s">
        <v>347</v>
      </c>
      <c r="G81" t="s">
        <v>346</v>
      </c>
      <c r="J81" t="s">
        <v>345</v>
      </c>
      <c r="AD81">
        <v>34</v>
      </c>
      <c r="AE81" t="s">
        <v>512</v>
      </c>
      <c r="AF81">
        <v>12</v>
      </c>
      <c r="AG81" t="s">
        <v>517</v>
      </c>
      <c r="AH81" t="str">
        <f t="shared" si="1"/>
        <v>chr13_49030331_T_G</v>
      </c>
      <c r="AI81" s="2" t="str">
        <f>IF(ISNUMBER(MATCH(AH81,'3347_FINAL'!$AH:$AH,0)),"YES","NO")</f>
        <v>NO</v>
      </c>
    </row>
    <row r="82" spans="1:35" x14ac:dyDescent="0.2">
      <c r="A82" t="s">
        <v>202</v>
      </c>
      <c r="B82">
        <v>76349069</v>
      </c>
      <c r="C82">
        <v>76349069</v>
      </c>
      <c r="D82" t="s">
        <v>45</v>
      </c>
      <c r="E82" t="s">
        <v>43</v>
      </c>
      <c r="F82" t="s">
        <v>36</v>
      </c>
      <c r="G82" t="s">
        <v>210</v>
      </c>
      <c r="H82" t="s">
        <v>38</v>
      </c>
      <c r="I82" t="s">
        <v>344</v>
      </c>
      <c r="J82" t="s">
        <v>343</v>
      </c>
      <c r="O82">
        <v>0.12</v>
      </c>
      <c r="P82" t="s">
        <v>41</v>
      </c>
      <c r="Q82" t="s">
        <v>41</v>
      </c>
      <c r="R82" t="s">
        <v>41</v>
      </c>
      <c r="S82" t="s">
        <v>41</v>
      </c>
      <c r="T82">
        <v>0.106666</v>
      </c>
      <c r="U82" t="s">
        <v>73</v>
      </c>
      <c r="V82">
        <v>1</v>
      </c>
      <c r="W82" t="s">
        <v>43</v>
      </c>
      <c r="X82" t="s">
        <v>41</v>
      </c>
      <c r="Y82" t="s">
        <v>41</v>
      </c>
      <c r="Z82" t="s">
        <v>41</v>
      </c>
      <c r="AA82">
        <v>5.9</v>
      </c>
      <c r="AB82">
        <v>2.806</v>
      </c>
      <c r="AC82">
        <v>12.7346</v>
      </c>
      <c r="AD82">
        <v>40</v>
      </c>
      <c r="AE82" t="s">
        <v>512</v>
      </c>
      <c r="AF82">
        <v>5</v>
      </c>
      <c r="AG82" t="s">
        <v>517</v>
      </c>
      <c r="AH82" t="str">
        <f t="shared" si="1"/>
        <v>chr14_76349069_G_A</v>
      </c>
      <c r="AI82" s="2" t="str">
        <f>IF(ISNUMBER(MATCH(AH82,'3347_FINAL'!$AH:$AH,0)),"YES","NO")</f>
        <v>NO</v>
      </c>
    </row>
    <row r="83" spans="1:35" x14ac:dyDescent="0.2">
      <c r="A83" t="s">
        <v>202</v>
      </c>
      <c r="B83">
        <v>88904569</v>
      </c>
      <c r="C83">
        <v>88904569</v>
      </c>
      <c r="D83" t="s">
        <v>45</v>
      </c>
      <c r="E83" t="s">
        <v>35</v>
      </c>
      <c r="F83" t="s">
        <v>36</v>
      </c>
      <c r="G83" t="s">
        <v>342</v>
      </c>
      <c r="H83" t="s">
        <v>38</v>
      </c>
      <c r="I83" t="s">
        <v>341</v>
      </c>
      <c r="O83">
        <v>0.08</v>
      </c>
      <c r="P83" t="s">
        <v>41</v>
      </c>
      <c r="Q83" t="s">
        <v>41</v>
      </c>
      <c r="R83" t="s">
        <v>41</v>
      </c>
      <c r="S83" t="s">
        <v>41</v>
      </c>
      <c r="T83">
        <v>0.366151</v>
      </c>
      <c r="U83" t="s">
        <v>73</v>
      </c>
      <c r="V83">
        <v>1</v>
      </c>
      <c r="W83" t="s">
        <v>42</v>
      </c>
      <c r="X83" t="s">
        <v>41</v>
      </c>
      <c r="Y83" t="s">
        <v>41</v>
      </c>
      <c r="Z83" t="s">
        <v>41</v>
      </c>
      <c r="AA83">
        <v>3.48</v>
      </c>
      <c r="AB83">
        <v>0.90500000000000003</v>
      </c>
      <c r="AC83">
        <v>7.3615000000000004</v>
      </c>
      <c r="AD83">
        <v>35</v>
      </c>
      <c r="AE83" t="s">
        <v>512</v>
      </c>
      <c r="AF83">
        <v>13</v>
      </c>
      <c r="AG83" t="s">
        <v>517</v>
      </c>
      <c r="AH83" t="str">
        <f t="shared" si="1"/>
        <v>chr14_88904569_G_T</v>
      </c>
      <c r="AI83" s="2" t="str">
        <f>IF(ISNUMBER(MATCH(AH83,'3347_FINAL'!$AH:$AH,0)),"YES","NO")</f>
        <v>NO</v>
      </c>
    </row>
    <row r="84" spans="1:35" x14ac:dyDescent="0.2">
      <c r="A84" t="s">
        <v>216</v>
      </c>
      <c r="B84">
        <v>31294999</v>
      </c>
      <c r="C84">
        <v>31294999</v>
      </c>
      <c r="D84" t="s">
        <v>34</v>
      </c>
      <c r="E84" t="s">
        <v>43</v>
      </c>
      <c r="F84" t="s">
        <v>36</v>
      </c>
      <c r="G84" t="s">
        <v>340</v>
      </c>
      <c r="H84" t="s">
        <v>38</v>
      </c>
      <c r="I84" t="s">
        <v>339</v>
      </c>
      <c r="J84" t="s">
        <v>338</v>
      </c>
      <c r="O84">
        <v>0.18</v>
      </c>
      <c r="P84" t="s">
        <v>41</v>
      </c>
      <c r="Q84" t="s">
        <v>41</v>
      </c>
      <c r="R84" t="s">
        <v>41</v>
      </c>
      <c r="S84" t="s">
        <v>41</v>
      </c>
      <c r="T84">
        <v>1.12E-4</v>
      </c>
      <c r="U84" t="s">
        <v>42</v>
      </c>
      <c r="V84">
        <v>1</v>
      </c>
      <c r="W84" t="s">
        <v>42</v>
      </c>
      <c r="X84" t="s">
        <v>41</v>
      </c>
      <c r="Y84" t="s">
        <v>41</v>
      </c>
      <c r="Z84" t="s">
        <v>41</v>
      </c>
      <c r="AA84">
        <v>4.96</v>
      </c>
      <c r="AB84">
        <v>2.2930000000000001</v>
      </c>
      <c r="AC84">
        <v>18.234100000000002</v>
      </c>
      <c r="AD84">
        <v>42</v>
      </c>
      <c r="AE84" t="s">
        <v>512</v>
      </c>
      <c r="AF84">
        <v>14</v>
      </c>
      <c r="AG84" t="s">
        <v>517</v>
      </c>
      <c r="AH84" t="str">
        <f t="shared" si="1"/>
        <v>chr15_31294999_C_A</v>
      </c>
      <c r="AI84" s="2" t="str">
        <f>IF(ISNUMBER(MATCH(AH84,'3347_FINAL'!$AH:$AH,0)),"YES","NO")</f>
        <v>NO</v>
      </c>
    </row>
    <row r="85" spans="1:35" x14ac:dyDescent="0.2">
      <c r="A85" t="s">
        <v>216</v>
      </c>
      <c r="B85">
        <v>73007740</v>
      </c>
      <c r="C85">
        <v>73007740</v>
      </c>
      <c r="D85" t="s">
        <v>34</v>
      </c>
      <c r="E85" t="s">
        <v>43</v>
      </c>
      <c r="F85" t="s">
        <v>36</v>
      </c>
      <c r="G85" t="s">
        <v>337</v>
      </c>
      <c r="H85" t="s">
        <v>47</v>
      </c>
      <c r="I85" t="s">
        <v>336</v>
      </c>
      <c r="J85" t="s">
        <v>335</v>
      </c>
      <c r="O85">
        <v>0.09</v>
      </c>
      <c r="P85">
        <v>1</v>
      </c>
      <c r="Q85" t="s">
        <v>42</v>
      </c>
      <c r="R85">
        <v>0.99399999999999999</v>
      </c>
      <c r="S85" t="s">
        <v>42</v>
      </c>
      <c r="T85">
        <v>0</v>
      </c>
      <c r="U85" t="s">
        <v>42</v>
      </c>
      <c r="V85">
        <v>0.99995699999999998</v>
      </c>
      <c r="W85" t="s">
        <v>42</v>
      </c>
      <c r="X85">
        <v>1.79</v>
      </c>
      <c r="Y85" t="s">
        <v>206</v>
      </c>
      <c r="Z85">
        <v>-0.06</v>
      </c>
      <c r="AA85">
        <v>5.36</v>
      </c>
      <c r="AB85">
        <v>2.5270000000000001</v>
      </c>
      <c r="AC85">
        <v>17.8718</v>
      </c>
      <c r="AD85">
        <v>31</v>
      </c>
      <c r="AE85" t="s">
        <v>512</v>
      </c>
      <c r="AF85">
        <v>12</v>
      </c>
      <c r="AG85" t="s">
        <v>517</v>
      </c>
      <c r="AH85" t="str">
        <f t="shared" si="1"/>
        <v>chr15_73007740_C_A</v>
      </c>
      <c r="AI85" s="2" t="str">
        <f>IF(ISNUMBER(MATCH(AH85,'3347_FINAL'!$AH:$AH,0)),"YES","NO")</f>
        <v>NO</v>
      </c>
    </row>
    <row r="86" spans="1:35" x14ac:dyDescent="0.2">
      <c r="A86" t="s">
        <v>216</v>
      </c>
      <c r="B86">
        <v>76668639</v>
      </c>
      <c r="C86">
        <v>76668639</v>
      </c>
      <c r="D86" t="s">
        <v>45</v>
      </c>
      <c r="E86" t="s">
        <v>43</v>
      </c>
      <c r="F86" t="s">
        <v>36</v>
      </c>
      <c r="G86" t="s">
        <v>220</v>
      </c>
      <c r="H86" t="s">
        <v>47</v>
      </c>
      <c r="I86" t="s">
        <v>334</v>
      </c>
      <c r="J86" t="s">
        <v>333</v>
      </c>
      <c r="O86">
        <v>0.02</v>
      </c>
      <c r="P86">
        <v>0.99399999999999999</v>
      </c>
      <c r="Q86" t="s">
        <v>42</v>
      </c>
      <c r="R86">
        <v>0.89</v>
      </c>
      <c r="S86" t="s">
        <v>117</v>
      </c>
      <c r="T86">
        <v>0</v>
      </c>
      <c r="U86" t="s">
        <v>42</v>
      </c>
      <c r="V86" t="s">
        <v>41</v>
      </c>
      <c r="W86" t="s">
        <v>41</v>
      </c>
      <c r="X86">
        <v>1.845</v>
      </c>
      <c r="Y86" t="s">
        <v>206</v>
      </c>
      <c r="Z86">
        <v>1.86</v>
      </c>
      <c r="AA86">
        <v>5.85</v>
      </c>
      <c r="AB86">
        <v>2.7669999999999999</v>
      </c>
      <c r="AC86">
        <v>20.153099999999998</v>
      </c>
      <c r="AD86">
        <v>32</v>
      </c>
      <c r="AE86" t="s">
        <v>512</v>
      </c>
      <c r="AF86">
        <v>10</v>
      </c>
      <c r="AG86" t="s">
        <v>517</v>
      </c>
      <c r="AH86" t="str">
        <f t="shared" si="1"/>
        <v>chr15_76668639_G_A</v>
      </c>
      <c r="AI86" s="2" t="str">
        <f>IF(ISNUMBER(MATCH(AH86,'3347_FINAL'!$AH:$AH,0)),"YES","NO")</f>
        <v>NO</v>
      </c>
    </row>
    <row r="87" spans="1:35" x14ac:dyDescent="0.2">
      <c r="A87" t="s">
        <v>224</v>
      </c>
      <c r="B87">
        <v>72130279</v>
      </c>
      <c r="C87">
        <v>72130279</v>
      </c>
      <c r="D87" t="s">
        <v>43</v>
      </c>
      <c r="E87" t="s">
        <v>35</v>
      </c>
      <c r="F87" t="s">
        <v>36</v>
      </c>
      <c r="G87" t="s">
        <v>228</v>
      </c>
      <c r="H87" t="s">
        <v>38</v>
      </c>
      <c r="I87" t="s">
        <v>332</v>
      </c>
      <c r="J87" t="s">
        <v>331</v>
      </c>
      <c r="O87">
        <v>1</v>
      </c>
      <c r="P87" t="s">
        <v>41</v>
      </c>
      <c r="Q87" t="s">
        <v>41</v>
      </c>
      <c r="R87" t="s">
        <v>41</v>
      </c>
      <c r="S87" t="s">
        <v>41</v>
      </c>
      <c r="T87">
        <v>5.0799999999999999E-4</v>
      </c>
      <c r="U87" t="s">
        <v>42</v>
      </c>
      <c r="V87">
        <v>1</v>
      </c>
      <c r="W87" t="s">
        <v>43</v>
      </c>
      <c r="X87" t="s">
        <v>41</v>
      </c>
      <c r="Y87" t="s">
        <v>41</v>
      </c>
      <c r="Z87" t="s">
        <v>41</v>
      </c>
      <c r="AA87">
        <v>3.59</v>
      </c>
      <c r="AB87">
        <v>0.748</v>
      </c>
      <c r="AC87">
        <v>10.7186</v>
      </c>
      <c r="AD87">
        <v>35</v>
      </c>
      <c r="AE87" t="s">
        <v>512</v>
      </c>
      <c r="AF87">
        <v>4</v>
      </c>
      <c r="AG87" t="s">
        <v>517</v>
      </c>
      <c r="AH87" t="str">
        <f t="shared" si="1"/>
        <v>chr16_72130279_A_T</v>
      </c>
      <c r="AI87" s="2" t="str">
        <f>IF(ISNUMBER(MATCH(AH87,'3347_FINAL'!$AH:$AH,0)),"YES","NO")</f>
        <v>NO</v>
      </c>
    </row>
    <row r="88" spans="1:35" x14ac:dyDescent="0.2">
      <c r="A88" t="s">
        <v>224</v>
      </c>
      <c r="B88">
        <v>72141297</v>
      </c>
      <c r="C88">
        <v>72141297</v>
      </c>
      <c r="D88" t="s">
        <v>34</v>
      </c>
      <c r="E88" t="s">
        <v>35</v>
      </c>
      <c r="F88" t="s">
        <v>36</v>
      </c>
      <c r="G88" t="s">
        <v>228</v>
      </c>
      <c r="H88" t="s">
        <v>38</v>
      </c>
      <c r="I88" t="s">
        <v>330</v>
      </c>
      <c r="J88" t="s">
        <v>141</v>
      </c>
      <c r="O88">
        <v>0</v>
      </c>
      <c r="P88" t="s">
        <v>41</v>
      </c>
      <c r="Q88" t="s">
        <v>41</v>
      </c>
      <c r="R88" t="s">
        <v>41</v>
      </c>
      <c r="S88" t="s">
        <v>41</v>
      </c>
      <c r="T88">
        <v>0</v>
      </c>
      <c r="U88" t="s">
        <v>42</v>
      </c>
      <c r="V88">
        <v>1</v>
      </c>
      <c r="W88" t="s">
        <v>43</v>
      </c>
      <c r="X88" t="s">
        <v>41</v>
      </c>
      <c r="Y88" t="s">
        <v>41</v>
      </c>
      <c r="Z88" t="s">
        <v>41</v>
      </c>
      <c r="AA88">
        <v>5.28</v>
      </c>
      <c r="AB88">
        <v>2.7450000000000001</v>
      </c>
      <c r="AC88">
        <v>18.705500000000001</v>
      </c>
      <c r="AD88">
        <v>45</v>
      </c>
      <c r="AE88" t="s">
        <v>512</v>
      </c>
      <c r="AF88">
        <v>3</v>
      </c>
      <c r="AG88" t="s">
        <v>517</v>
      </c>
      <c r="AH88" t="str">
        <f t="shared" si="1"/>
        <v>chr16_72141297_C_T</v>
      </c>
      <c r="AI88" s="2" t="str">
        <f>IF(ISNUMBER(MATCH(AH88,'3347_FINAL'!$AH:$AH,0)),"YES","NO")</f>
        <v>NO</v>
      </c>
    </row>
    <row r="89" spans="1:35" s="3" customFormat="1" x14ac:dyDescent="0.2">
      <c r="A89" s="3" t="s">
        <v>224</v>
      </c>
      <c r="B89" s="3">
        <v>77369782</v>
      </c>
      <c r="C89" s="3">
        <v>77369782</v>
      </c>
      <c r="D89" s="3" t="s">
        <v>34</v>
      </c>
      <c r="E89" s="3" t="s">
        <v>35</v>
      </c>
      <c r="F89" s="3" t="s">
        <v>36</v>
      </c>
      <c r="G89" s="3" t="s">
        <v>231</v>
      </c>
      <c r="H89" s="3" t="s">
        <v>47</v>
      </c>
      <c r="I89" s="3" t="s">
        <v>232</v>
      </c>
      <c r="J89" s="3" t="s">
        <v>233</v>
      </c>
      <c r="O89" s="3">
        <v>0</v>
      </c>
      <c r="P89" s="3">
        <v>1</v>
      </c>
      <c r="Q89" s="3" t="s">
        <v>42</v>
      </c>
      <c r="R89" s="3">
        <v>1</v>
      </c>
      <c r="S89" s="3" t="s">
        <v>42</v>
      </c>
      <c r="T89" s="3">
        <v>0</v>
      </c>
      <c r="U89" s="3" t="s">
        <v>42</v>
      </c>
      <c r="V89" s="3">
        <v>0.99775000000000003</v>
      </c>
      <c r="W89" s="3" t="s">
        <v>42</v>
      </c>
      <c r="X89" s="3">
        <v>3.89</v>
      </c>
      <c r="Y89" s="3" t="s">
        <v>52</v>
      </c>
      <c r="Z89" s="3">
        <v>0.01</v>
      </c>
      <c r="AA89" s="3">
        <v>5.74</v>
      </c>
      <c r="AB89" s="3">
        <v>2.7120000000000002</v>
      </c>
      <c r="AC89" s="3">
        <v>18.9284</v>
      </c>
      <c r="AD89" s="3">
        <v>32</v>
      </c>
      <c r="AE89" s="3" t="s">
        <v>512</v>
      </c>
      <c r="AF89" s="3">
        <v>10</v>
      </c>
      <c r="AG89" s="3" t="s">
        <v>517</v>
      </c>
      <c r="AH89" s="3" t="str">
        <f t="shared" si="1"/>
        <v>chr16_77369782_C_T</v>
      </c>
      <c r="AI89" s="4" t="str">
        <f>IF(ISNUMBER(MATCH(AH89,'3347_FINAL'!$AH:$AH,0)),"YES","NO")</f>
        <v>YES</v>
      </c>
    </row>
    <row r="90" spans="1:35" x14ac:dyDescent="0.2">
      <c r="A90" t="s">
        <v>236</v>
      </c>
      <c r="B90">
        <v>1584954</v>
      </c>
      <c r="C90">
        <v>1584954</v>
      </c>
      <c r="D90" t="s">
        <v>34</v>
      </c>
      <c r="E90" t="s">
        <v>35</v>
      </c>
      <c r="F90" t="s">
        <v>36</v>
      </c>
      <c r="G90" t="s">
        <v>329</v>
      </c>
      <c r="H90" t="s">
        <v>38</v>
      </c>
      <c r="I90" t="s">
        <v>328</v>
      </c>
      <c r="J90" t="s">
        <v>327</v>
      </c>
      <c r="O90">
        <v>1</v>
      </c>
      <c r="P90" t="s">
        <v>41</v>
      </c>
      <c r="Q90" t="s">
        <v>41</v>
      </c>
      <c r="R90" t="s">
        <v>41</v>
      </c>
      <c r="S90" t="s">
        <v>41</v>
      </c>
      <c r="T90">
        <v>0</v>
      </c>
      <c r="U90" t="s">
        <v>42</v>
      </c>
      <c r="V90">
        <v>1</v>
      </c>
      <c r="W90" t="s">
        <v>43</v>
      </c>
      <c r="X90" t="s">
        <v>41</v>
      </c>
      <c r="Y90" t="s">
        <v>41</v>
      </c>
      <c r="Z90" t="s">
        <v>41</v>
      </c>
      <c r="AA90">
        <v>5.7</v>
      </c>
      <c r="AB90">
        <v>2.694</v>
      </c>
      <c r="AC90">
        <v>19.837900000000001</v>
      </c>
      <c r="AD90">
        <v>39</v>
      </c>
      <c r="AE90" t="s">
        <v>512</v>
      </c>
      <c r="AF90">
        <v>12</v>
      </c>
      <c r="AG90" t="s">
        <v>517</v>
      </c>
      <c r="AH90" t="str">
        <f t="shared" si="1"/>
        <v>chr17_1584954_C_T</v>
      </c>
      <c r="AI90" s="2" t="str">
        <f>IF(ISNUMBER(MATCH(AH90,'3347_FINAL'!$AH:$AH,0)),"YES","NO")</f>
        <v>NO</v>
      </c>
    </row>
    <row r="91" spans="1:35" x14ac:dyDescent="0.2">
      <c r="A91" t="s">
        <v>236</v>
      </c>
      <c r="B91">
        <v>6367155</v>
      </c>
      <c r="C91">
        <v>6367155</v>
      </c>
      <c r="D91" t="s">
        <v>34</v>
      </c>
      <c r="E91" t="s">
        <v>43</v>
      </c>
      <c r="F91" t="s">
        <v>36</v>
      </c>
      <c r="G91" t="s">
        <v>326</v>
      </c>
      <c r="H91" t="s">
        <v>47</v>
      </c>
      <c r="I91" t="s">
        <v>325</v>
      </c>
      <c r="J91" t="s">
        <v>324</v>
      </c>
      <c r="O91">
        <v>0.02</v>
      </c>
      <c r="P91">
        <v>1</v>
      </c>
      <c r="Q91" t="s">
        <v>42</v>
      </c>
      <c r="R91">
        <v>0.97799999999999998</v>
      </c>
      <c r="S91" t="s">
        <v>42</v>
      </c>
      <c r="T91">
        <v>6.0000000000000002E-6</v>
      </c>
      <c r="U91" t="s">
        <v>42</v>
      </c>
      <c r="V91">
        <v>8.2649999999999998E-3</v>
      </c>
      <c r="W91" t="s">
        <v>73</v>
      </c>
      <c r="X91">
        <v>2.77</v>
      </c>
      <c r="Y91" t="s">
        <v>50</v>
      </c>
      <c r="Z91">
        <v>-0.69</v>
      </c>
      <c r="AA91">
        <v>5.13</v>
      </c>
      <c r="AB91">
        <v>2.3929999999999998</v>
      </c>
      <c r="AC91">
        <v>16.075199999999999</v>
      </c>
      <c r="AD91">
        <v>33</v>
      </c>
      <c r="AE91" t="s">
        <v>512</v>
      </c>
      <c r="AF91">
        <v>3</v>
      </c>
      <c r="AG91" t="s">
        <v>517</v>
      </c>
      <c r="AH91" t="str">
        <f t="shared" si="1"/>
        <v>chr17_6367155_C_A</v>
      </c>
      <c r="AI91" s="2" t="str">
        <f>IF(ISNUMBER(MATCH(AH91,'3347_FINAL'!$AH:$AH,0)),"YES","NO")</f>
        <v>NO</v>
      </c>
    </row>
    <row r="92" spans="1:35" x14ac:dyDescent="0.2">
      <c r="A92" t="s">
        <v>236</v>
      </c>
      <c r="B92">
        <v>36484030</v>
      </c>
      <c r="C92">
        <v>36484030</v>
      </c>
      <c r="D92" t="s">
        <v>34</v>
      </c>
      <c r="E92" t="s">
        <v>43</v>
      </c>
      <c r="F92" t="s">
        <v>36</v>
      </c>
      <c r="G92" t="s">
        <v>323</v>
      </c>
      <c r="H92" t="s">
        <v>38</v>
      </c>
      <c r="I92" t="s">
        <v>322</v>
      </c>
      <c r="O92">
        <v>0.13</v>
      </c>
      <c r="P92" t="s">
        <v>41</v>
      </c>
      <c r="Q92" t="s">
        <v>41</v>
      </c>
      <c r="R92" t="s">
        <v>41</v>
      </c>
      <c r="S92" t="s">
        <v>41</v>
      </c>
      <c r="T92">
        <v>2.2380000000000001E-2</v>
      </c>
      <c r="U92" t="s">
        <v>73</v>
      </c>
      <c r="V92">
        <v>1</v>
      </c>
      <c r="W92" t="s">
        <v>42</v>
      </c>
      <c r="X92" t="s">
        <v>41</v>
      </c>
      <c r="Y92" t="s">
        <v>41</v>
      </c>
      <c r="Z92" t="s">
        <v>41</v>
      </c>
      <c r="AA92">
        <v>3.98</v>
      </c>
      <c r="AB92">
        <v>1.2949999999999999</v>
      </c>
      <c r="AC92">
        <v>8.8498000000000001</v>
      </c>
      <c r="AD92">
        <v>35</v>
      </c>
      <c r="AE92" t="s">
        <v>512</v>
      </c>
      <c r="AF92">
        <v>12</v>
      </c>
      <c r="AG92" t="s">
        <v>517</v>
      </c>
      <c r="AH92" t="str">
        <f t="shared" si="1"/>
        <v>chr17_36484030_C_A</v>
      </c>
      <c r="AI92" s="2" t="str">
        <f>IF(ISNUMBER(MATCH(AH92,'3347_FINAL'!$AH:$AH,0)),"YES","NO")</f>
        <v>NO</v>
      </c>
    </row>
    <row r="93" spans="1:35" x14ac:dyDescent="0.2">
      <c r="A93" t="s">
        <v>236</v>
      </c>
      <c r="B93">
        <v>66347726</v>
      </c>
      <c r="C93">
        <v>66347726</v>
      </c>
      <c r="D93" t="s">
        <v>34</v>
      </c>
      <c r="E93" t="s">
        <v>43</v>
      </c>
      <c r="F93" t="s">
        <v>36</v>
      </c>
      <c r="G93" t="s">
        <v>321</v>
      </c>
      <c r="H93" t="s">
        <v>38</v>
      </c>
      <c r="I93" t="s">
        <v>320</v>
      </c>
      <c r="J93" t="s">
        <v>319</v>
      </c>
      <c r="O93">
        <v>1</v>
      </c>
      <c r="P93" t="s">
        <v>41</v>
      </c>
      <c r="Q93" t="s">
        <v>41</v>
      </c>
      <c r="R93" t="s">
        <v>41</v>
      </c>
      <c r="S93" t="s">
        <v>41</v>
      </c>
      <c r="T93">
        <v>6.9999999999999999E-6</v>
      </c>
      <c r="U93" t="s">
        <v>42</v>
      </c>
      <c r="V93">
        <v>1</v>
      </c>
      <c r="W93" t="s">
        <v>43</v>
      </c>
      <c r="X93" t="s">
        <v>41</v>
      </c>
      <c r="Y93" t="s">
        <v>41</v>
      </c>
      <c r="Z93" t="s">
        <v>41</v>
      </c>
      <c r="AA93">
        <v>3.4</v>
      </c>
      <c r="AB93">
        <v>0.80400000000000005</v>
      </c>
      <c r="AC93">
        <v>6.4988000000000001</v>
      </c>
      <c r="AD93">
        <v>38</v>
      </c>
      <c r="AE93" t="s">
        <v>512</v>
      </c>
      <c r="AF93">
        <v>6</v>
      </c>
      <c r="AG93" t="s">
        <v>517</v>
      </c>
      <c r="AH93" t="str">
        <f t="shared" si="1"/>
        <v>chr17_66347726_C_A</v>
      </c>
      <c r="AI93" s="2" t="str">
        <f>IF(ISNUMBER(MATCH(AH93,'3347_FINAL'!$AH:$AH,0)),"YES","NO")</f>
        <v>NO</v>
      </c>
    </row>
    <row r="94" spans="1:35" x14ac:dyDescent="0.2">
      <c r="A94" t="s">
        <v>236</v>
      </c>
      <c r="B94">
        <v>72919143</v>
      </c>
      <c r="C94">
        <v>72919143</v>
      </c>
      <c r="D94" t="s">
        <v>45</v>
      </c>
      <c r="E94" t="s">
        <v>43</v>
      </c>
      <c r="F94" t="s">
        <v>36</v>
      </c>
      <c r="G94" t="s">
        <v>316</v>
      </c>
      <c r="H94" t="s">
        <v>318</v>
      </c>
      <c r="I94" t="s">
        <v>317</v>
      </c>
      <c r="J94" t="s">
        <v>314</v>
      </c>
      <c r="O94">
        <v>0.08</v>
      </c>
      <c r="P94">
        <v>1</v>
      </c>
      <c r="Q94" t="s">
        <v>42</v>
      </c>
      <c r="R94">
        <v>0.99199999999999999</v>
      </c>
      <c r="S94" t="s">
        <v>42</v>
      </c>
      <c r="T94">
        <v>0</v>
      </c>
      <c r="U94" t="s">
        <v>42</v>
      </c>
      <c r="V94">
        <v>0.99884799999999996</v>
      </c>
      <c r="W94" t="s">
        <v>42</v>
      </c>
      <c r="X94">
        <v>2.52</v>
      </c>
      <c r="Y94" t="s">
        <v>50</v>
      </c>
      <c r="Z94">
        <v>1.2</v>
      </c>
      <c r="AA94">
        <v>4.12</v>
      </c>
      <c r="AB94">
        <v>2.1269999999999998</v>
      </c>
      <c r="AC94">
        <v>16.563199999999998</v>
      </c>
      <c r="AD94">
        <v>31</v>
      </c>
      <c r="AE94" s="6" t="s">
        <v>521</v>
      </c>
      <c r="AF94">
        <v>1</v>
      </c>
      <c r="AG94" t="s">
        <v>44</v>
      </c>
      <c r="AH94" t="str">
        <f t="shared" si="1"/>
        <v>chr17_72919143_G_A</v>
      </c>
      <c r="AI94" s="2" t="str">
        <f>IF(ISNUMBER(MATCH(AH94,'3347_FINAL'!$AH:$AH,0)),"YES","NO")</f>
        <v>NO</v>
      </c>
    </row>
    <row r="95" spans="1:35" x14ac:dyDescent="0.2">
      <c r="A95" t="s">
        <v>236</v>
      </c>
      <c r="B95">
        <v>72919146</v>
      </c>
      <c r="C95">
        <v>72919146</v>
      </c>
      <c r="D95" t="s">
        <v>45</v>
      </c>
      <c r="E95" t="s">
        <v>35</v>
      </c>
      <c r="F95" t="s">
        <v>36</v>
      </c>
      <c r="G95" t="s">
        <v>316</v>
      </c>
      <c r="H95" t="s">
        <v>47</v>
      </c>
      <c r="I95" t="s">
        <v>315</v>
      </c>
      <c r="J95" t="s">
        <v>314</v>
      </c>
      <c r="O95">
        <v>0</v>
      </c>
      <c r="P95">
        <v>1</v>
      </c>
      <c r="Q95" t="s">
        <v>42</v>
      </c>
      <c r="R95">
        <v>1</v>
      </c>
      <c r="S95" t="s">
        <v>42</v>
      </c>
      <c r="T95">
        <v>0</v>
      </c>
      <c r="U95" t="s">
        <v>42</v>
      </c>
      <c r="V95">
        <v>0.99939</v>
      </c>
      <c r="W95" t="s">
        <v>42</v>
      </c>
      <c r="X95">
        <v>2.5449999999999999</v>
      </c>
      <c r="Y95" t="s">
        <v>50</v>
      </c>
      <c r="Z95">
        <v>0.54</v>
      </c>
      <c r="AA95">
        <v>4.12</v>
      </c>
      <c r="AB95">
        <v>2.1269999999999998</v>
      </c>
      <c r="AC95">
        <v>16.563199999999998</v>
      </c>
      <c r="AD95">
        <v>32</v>
      </c>
      <c r="AE95" s="6" t="s">
        <v>521</v>
      </c>
      <c r="AF95">
        <v>1</v>
      </c>
      <c r="AG95" t="s">
        <v>44</v>
      </c>
      <c r="AH95" t="str">
        <f t="shared" si="1"/>
        <v>chr17_72919146_G_T</v>
      </c>
      <c r="AI95" s="2" t="str">
        <f>IF(ISNUMBER(MATCH(AH95,'3347_FINAL'!$AH:$AH,0)),"YES","NO")</f>
        <v>NO</v>
      </c>
    </row>
    <row r="96" spans="1:35" x14ac:dyDescent="0.2">
      <c r="A96" t="s">
        <v>243</v>
      </c>
      <c r="B96">
        <v>6947271</v>
      </c>
      <c r="C96">
        <v>6947271</v>
      </c>
      <c r="D96" t="s">
        <v>45</v>
      </c>
      <c r="E96" t="s">
        <v>35</v>
      </c>
      <c r="F96" t="s">
        <v>36</v>
      </c>
      <c r="G96" t="s">
        <v>312</v>
      </c>
      <c r="H96" t="s">
        <v>38</v>
      </c>
      <c r="I96" t="s">
        <v>313</v>
      </c>
      <c r="O96">
        <v>0.83</v>
      </c>
      <c r="P96" t="s">
        <v>41</v>
      </c>
      <c r="Q96" t="s">
        <v>41</v>
      </c>
      <c r="R96" t="s">
        <v>41</v>
      </c>
      <c r="S96" t="s">
        <v>41</v>
      </c>
      <c r="T96">
        <v>7.8999999999999996E-5</v>
      </c>
      <c r="U96" t="s">
        <v>42</v>
      </c>
      <c r="V96">
        <v>1</v>
      </c>
      <c r="W96" t="s">
        <v>43</v>
      </c>
      <c r="X96" t="s">
        <v>41</v>
      </c>
      <c r="Y96" t="s">
        <v>41</v>
      </c>
      <c r="Z96" t="s">
        <v>41</v>
      </c>
      <c r="AA96">
        <v>5.03</v>
      </c>
      <c r="AB96">
        <v>1.48</v>
      </c>
      <c r="AC96">
        <v>14.1793</v>
      </c>
      <c r="AD96">
        <v>38</v>
      </c>
      <c r="AE96" s="6" t="s">
        <v>521</v>
      </c>
      <c r="AF96">
        <v>1</v>
      </c>
      <c r="AG96" t="s">
        <v>44</v>
      </c>
      <c r="AH96" t="str">
        <f t="shared" si="1"/>
        <v>chr18_6947271_G_T</v>
      </c>
      <c r="AI96" s="2" t="str">
        <f>IF(ISNUMBER(MATCH(AH96,'3347_FINAL'!$AH:$AH,0)),"YES","NO")</f>
        <v>NO</v>
      </c>
    </row>
    <row r="97" spans="1:35" x14ac:dyDescent="0.2">
      <c r="A97" t="s">
        <v>243</v>
      </c>
      <c r="B97">
        <v>6985639</v>
      </c>
      <c r="C97">
        <v>6985639</v>
      </c>
      <c r="D97" t="s">
        <v>35</v>
      </c>
      <c r="E97" t="s">
        <v>43</v>
      </c>
      <c r="F97" t="s">
        <v>36</v>
      </c>
      <c r="G97" t="s">
        <v>312</v>
      </c>
      <c r="H97" t="s">
        <v>38</v>
      </c>
      <c r="I97" t="s">
        <v>311</v>
      </c>
      <c r="J97" t="s">
        <v>310</v>
      </c>
      <c r="O97">
        <v>1</v>
      </c>
      <c r="P97" t="s">
        <v>41</v>
      </c>
      <c r="Q97" t="s">
        <v>41</v>
      </c>
      <c r="R97" t="s">
        <v>41</v>
      </c>
      <c r="S97" t="s">
        <v>41</v>
      </c>
      <c r="T97">
        <v>3.97E-4</v>
      </c>
      <c r="U97" t="s">
        <v>42</v>
      </c>
      <c r="V97">
        <v>1</v>
      </c>
      <c r="W97" t="s">
        <v>43</v>
      </c>
      <c r="X97" t="s">
        <v>41</v>
      </c>
      <c r="Y97" t="s">
        <v>41</v>
      </c>
      <c r="Z97" t="s">
        <v>41</v>
      </c>
      <c r="AA97">
        <v>4.43</v>
      </c>
      <c r="AB97">
        <v>0.95399999999999996</v>
      </c>
      <c r="AC97">
        <v>10.0107</v>
      </c>
      <c r="AD97">
        <v>41</v>
      </c>
      <c r="AE97" s="6" t="s">
        <v>521</v>
      </c>
      <c r="AF97">
        <v>1</v>
      </c>
      <c r="AG97" t="s">
        <v>44</v>
      </c>
      <c r="AH97" t="str">
        <f t="shared" si="1"/>
        <v>chr18_6985639_T_A</v>
      </c>
      <c r="AI97" s="2" t="str">
        <f>IF(ISNUMBER(MATCH(AH97,'3347_FINAL'!$AH:$AH,0)),"YES","NO")</f>
        <v>NO</v>
      </c>
    </row>
    <row r="98" spans="1:35" s="3" customFormat="1" x14ac:dyDescent="0.2">
      <c r="A98" s="3" t="s">
        <v>243</v>
      </c>
      <c r="B98" s="3">
        <v>12344187</v>
      </c>
      <c r="C98" s="3">
        <v>12344187</v>
      </c>
      <c r="D98" s="3" t="s">
        <v>34</v>
      </c>
      <c r="E98" s="3" t="s">
        <v>35</v>
      </c>
      <c r="F98" s="3" t="s">
        <v>36</v>
      </c>
      <c r="G98" s="3" t="s">
        <v>244</v>
      </c>
      <c r="H98" s="3" t="s">
        <v>47</v>
      </c>
      <c r="I98" s="3" t="s">
        <v>247</v>
      </c>
      <c r="J98" s="3" t="s">
        <v>239</v>
      </c>
      <c r="K98" s="3" t="s">
        <v>248</v>
      </c>
      <c r="O98" s="3">
        <v>0</v>
      </c>
      <c r="P98" s="3">
        <v>0.96599999999999997</v>
      </c>
      <c r="Q98" s="3" t="s">
        <v>42</v>
      </c>
      <c r="R98" s="3">
        <v>0.60199999999999998</v>
      </c>
      <c r="S98" s="3" t="s">
        <v>117</v>
      </c>
      <c r="T98" s="3">
        <v>0</v>
      </c>
      <c r="U98" s="3" t="s">
        <v>42</v>
      </c>
      <c r="V98" s="3">
        <v>1</v>
      </c>
      <c r="W98" s="3" t="s">
        <v>42</v>
      </c>
      <c r="X98" s="3">
        <v>4</v>
      </c>
      <c r="Y98" s="3" t="s">
        <v>52</v>
      </c>
      <c r="Z98" s="3">
        <v>-2.71</v>
      </c>
      <c r="AA98" s="3">
        <v>4.6100000000000003</v>
      </c>
      <c r="AB98" s="3">
        <v>2.3919999999999999</v>
      </c>
      <c r="AC98" s="3">
        <v>17.623699999999999</v>
      </c>
      <c r="AD98" s="3">
        <v>33</v>
      </c>
      <c r="AE98" s="3" t="s">
        <v>512</v>
      </c>
      <c r="AF98" s="3">
        <v>6</v>
      </c>
      <c r="AG98" s="3" t="s">
        <v>517</v>
      </c>
      <c r="AH98" s="3" t="str">
        <f t="shared" si="1"/>
        <v>chr18_12344187_C_T</v>
      </c>
      <c r="AI98" s="4" t="str">
        <f>IF(ISNUMBER(MATCH(AH98,'3347_FINAL'!$AH:$AH,0)),"YES","NO")</f>
        <v>YES</v>
      </c>
    </row>
    <row r="99" spans="1:35" x14ac:dyDescent="0.2">
      <c r="A99" t="s">
        <v>243</v>
      </c>
      <c r="B99">
        <v>12358731</v>
      </c>
      <c r="C99">
        <v>12358731</v>
      </c>
      <c r="D99" t="s">
        <v>34</v>
      </c>
      <c r="E99" t="s">
        <v>35</v>
      </c>
      <c r="F99" t="s">
        <v>36</v>
      </c>
      <c r="G99" t="s">
        <v>244</v>
      </c>
      <c r="H99" t="s">
        <v>47</v>
      </c>
      <c r="I99" t="s">
        <v>309</v>
      </c>
      <c r="J99" t="s">
        <v>308</v>
      </c>
      <c r="O99">
        <v>0</v>
      </c>
      <c r="P99">
        <v>1</v>
      </c>
      <c r="Q99" t="s">
        <v>42</v>
      </c>
      <c r="R99">
        <v>0.96099999999999997</v>
      </c>
      <c r="S99" t="s">
        <v>42</v>
      </c>
      <c r="T99">
        <v>0</v>
      </c>
      <c r="U99" t="s">
        <v>42</v>
      </c>
      <c r="V99">
        <v>0.99876900000000002</v>
      </c>
      <c r="W99" t="s">
        <v>42</v>
      </c>
      <c r="X99">
        <v>4.5049999999999999</v>
      </c>
      <c r="Y99" t="s">
        <v>52</v>
      </c>
      <c r="Z99">
        <v>-2.91</v>
      </c>
      <c r="AA99">
        <v>5.76</v>
      </c>
      <c r="AB99">
        <v>2.718</v>
      </c>
      <c r="AC99">
        <v>19.9664</v>
      </c>
      <c r="AD99">
        <v>32</v>
      </c>
      <c r="AE99" t="s">
        <v>512</v>
      </c>
      <c r="AF99">
        <v>5</v>
      </c>
      <c r="AG99" t="s">
        <v>517</v>
      </c>
      <c r="AH99" t="str">
        <f t="shared" si="1"/>
        <v>chr18_12358731_C_T</v>
      </c>
      <c r="AI99" s="2" t="str">
        <f>IF(ISNUMBER(MATCH(AH99,'3347_FINAL'!$AH:$AH,0)),"YES","NO")</f>
        <v>NO</v>
      </c>
    </row>
    <row r="100" spans="1:35" x14ac:dyDescent="0.2">
      <c r="A100" t="s">
        <v>243</v>
      </c>
      <c r="B100">
        <v>12359984</v>
      </c>
      <c r="C100">
        <v>12359984</v>
      </c>
      <c r="D100" t="s">
        <v>34</v>
      </c>
      <c r="E100" t="s">
        <v>43</v>
      </c>
      <c r="F100" t="s">
        <v>36</v>
      </c>
      <c r="G100" t="s">
        <v>244</v>
      </c>
      <c r="H100" t="s">
        <v>38</v>
      </c>
      <c r="I100" t="s">
        <v>307</v>
      </c>
      <c r="J100" t="s">
        <v>306</v>
      </c>
      <c r="O100">
        <v>0.13</v>
      </c>
      <c r="P100" t="s">
        <v>41</v>
      </c>
      <c r="Q100" t="s">
        <v>41</v>
      </c>
      <c r="R100" t="s">
        <v>41</v>
      </c>
      <c r="S100" t="s">
        <v>41</v>
      </c>
      <c r="T100">
        <v>0</v>
      </c>
      <c r="U100" t="s">
        <v>42</v>
      </c>
      <c r="V100">
        <v>1</v>
      </c>
      <c r="W100" t="s">
        <v>43</v>
      </c>
      <c r="X100" t="s">
        <v>41</v>
      </c>
      <c r="Y100" t="s">
        <v>41</v>
      </c>
      <c r="Z100" t="s">
        <v>41</v>
      </c>
      <c r="AA100">
        <v>4.87</v>
      </c>
      <c r="AB100">
        <v>2.407</v>
      </c>
      <c r="AC100">
        <v>18.373999999999999</v>
      </c>
      <c r="AD100">
        <v>40</v>
      </c>
      <c r="AE100" t="s">
        <v>512</v>
      </c>
      <c r="AF100">
        <v>8</v>
      </c>
      <c r="AG100" t="s">
        <v>517</v>
      </c>
      <c r="AH100" t="str">
        <f t="shared" si="1"/>
        <v>chr18_12359984_C_A</v>
      </c>
      <c r="AI100" s="2" t="str">
        <f>IF(ISNUMBER(MATCH(AH100,'3347_FINAL'!$AH:$AH,0)),"YES","NO")</f>
        <v>NO</v>
      </c>
    </row>
    <row r="101" spans="1:35" x14ac:dyDescent="0.2">
      <c r="A101" t="s">
        <v>243</v>
      </c>
      <c r="B101">
        <v>12367055</v>
      </c>
      <c r="C101">
        <v>12367055</v>
      </c>
      <c r="D101" t="s">
        <v>34</v>
      </c>
      <c r="E101" t="s">
        <v>35</v>
      </c>
      <c r="F101" t="s">
        <v>36</v>
      </c>
      <c r="G101" t="s">
        <v>244</v>
      </c>
      <c r="H101" t="s">
        <v>38</v>
      </c>
      <c r="I101" t="s">
        <v>305</v>
      </c>
      <c r="J101" t="s">
        <v>304</v>
      </c>
      <c r="O101">
        <v>0.31</v>
      </c>
      <c r="P101" t="s">
        <v>41</v>
      </c>
      <c r="Q101" t="s">
        <v>41</v>
      </c>
      <c r="R101" t="s">
        <v>41</v>
      </c>
      <c r="S101" t="s">
        <v>41</v>
      </c>
      <c r="T101">
        <v>3.0000000000000001E-6</v>
      </c>
      <c r="U101" t="s">
        <v>42</v>
      </c>
      <c r="V101">
        <v>1</v>
      </c>
      <c r="W101" t="s">
        <v>43</v>
      </c>
      <c r="X101" t="s">
        <v>41</v>
      </c>
      <c r="Y101" t="s">
        <v>41</v>
      </c>
      <c r="Z101" t="s">
        <v>41</v>
      </c>
      <c r="AA101">
        <v>5.72</v>
      </c>
      <c r="AB101">
        <v>2.702</v>
      </c>
      <c r="AC101">
        <v>19.864599999999999</v>
      </c>
      <c r="AD101">
        <v>46</v>
      </c>
      <c r="AE101" t="s">
        <v>512</v>
      </c>
      <c r="AF101">
        <v>11</v>
      </c>
      <c r="AG101" t="s">
        <v>517</v>
      </c>
      <c r="AH101" t="str">
        <f t="shared" si="1"/>
        <v>chr18_12367055_C_T</v>
      </c>
      <c r="AI101" s="2" t="str">
        <f>IF(ISNUMBER(MATCH(AH101,'3347_FINAL'!$AH:$AH,0)),"YES","NO")</f>
        <v>NO</v>
      </c>
    </row>
    <row r="102" spans="1:35" x14ac:dyDescent="0.2">
      <c r="A102" t="s">
        <v>257</v>
      </c>
      <c r="B102">
        <v>10623225</v>
      </c>
      <c r="C102">
        <v>10623225</v>
      </c>
      <c r="D102" t="s">
        <v>45</v>
      </c>
      <c r="E102" t="s">
        <v>35</v>
      </c>
      <c r="F102" t="s">
        <v>36</v>
      </c>
      <c r="G102" t="s">
        <v>301</v>
      </c>
      <c r="H102" t="s">
        <v>47</v>
      </c>
      <c r="I102" t="s">
        <v>303</v>
      </c>
      <c r="J102" t="s">
        <v>302</v>
      </c>
      <c r="O102">
        <v>0</v>
      </c>
      <c r="P102">
        <v>1</v>
      </c>
      <c r="Q102" t="s">
        <v>42</v>
      </c>
      <c r="R102">
        <v>0.997</v>
      </c>
      <c r="S102" t="s">
        <v>42</v>
      </c>
      <c r="T102">
        <v>0</v>
      </c>
      <c r="U102" t="s">
        <v>42</v>
      </c>
      <c r="V102">
        <v>0.99998900000000002</v>
      </c>
      <c r="W102" t="s">
        <v>42</v>
      </c>
      <c r="X102">
        <v>4.0999999999999996</v>
      </c>
      <c r="Y102" t="s">
        <v>52</v>
      </c>
      <c r="Z102">
        <v>-2.75</v>
      </c>
      <c r="AA102">
        <v>5.79</v>
      </c>
      <c r="AB102">
        <v>2.7650000000000001</v>
      </c>
      <c r="AC102">
        <v>20.098700000000001</v>
      </c>
      <c r="AD102">
        <v>32</v>
      </c>
      <c r="AE102" t="s">
        <v>512</v>
      </c>
      <c r="AF102">
        <v>15</v>
      </c>
      <c r="AG102" t="s">
        <v>517</v>
      </c>
      <c r="AH102" t="str">
        <f t="shared" si="1"/>
        <v>chr20_10623225_G_T</v>
      </c>
      <c r="AI102" s="2" t="str">
        <f>IF(ISNUMBER(MATCH(AH102,'3347_FINAL'!$AH:$AH,0)),"YES","NO")</f>
        <v>NO</v>
      </c>
    </row>
    <row r="103" spans="1:35" x14ac:dyDescent="0.2">
      <c r="A103" t="s">
        <v>257</v>
      </c>
      <c r="B103">
        <v>10630981</v>
      </c>
      <c r="C103">
        <v>10630981</v>
      </c>
      <c r="D103" t="s">
        <v>34</v>
      </c>
      <c r="E103" t="s">
        <v>35</v>
      </c>
      <c r="F103" t="s">
        <v>36</v>
      </c>
      <c r="G103" t="s">
        <v>301</v>
      </c>
      <c r="H103" t="s">
        <v>47</v>
      </c>
      <c r="I103" t="s">
        <v>300</v>
      </c>
      <c r="J103" t="s">
        <v>299</v>
      </c>
      <c r="O103">
        <v>0</v>
      </c>
      <c r="P103">
        <v>1</v>
      </c>
      <c r="Q103" t="s">
        <v>42</v>
      </c>
      <c r="R103">
        <v>1</v>
      </c>
      <c r="S103" t="s">
        <v>42</v>
      </c>
      <c r="T103">
        <v>0</v>
      </c>
      <c r="U103" t="s">
        <v>42</v>
      </c>
      <c r="V103">
        <v>1</v>
      </c>
      <c r="W103" t="s">
        <v>42</v>
      </c>
      <c r="X103">
        <v>4.7699999999999996</v>
      </c>
      <c r="Y103" t="s">
        <v>52</v>
      </c>
      <c r="Z103">
        <v>-13.03</v>
      </c>
      <c r="AA103">
        <v>5.85</v>
      </c>
      <c r="AB103">
        <v>2.7669999999999999</v>
      </c>
      <c r="AC103">
        <v>20.157699999999998</v>
      </c>
      <c r="AD103">
        <v>32</v>
      </c>
      <c r="AE103" t="s">
        <v>512</v>
      </c>
      <c r="AF103">
        <v>5</v>
      </c>
      <c r="AG103" t="s">
        <v>517</v>
      </c>
      <c r="AH103" t="str">
        <f t="shared" si="1"/>
        <v>chr20_10630981_C_T</v>
      </c>
      <c r="AI103" s="2" t="str">
        <f>IF(ISNUMBER(MATCH(AH103,'3347_FINAL'!$AH:$AH,0)),"YES","NO")</f>
        <v>NO</v>
      </c>
    </row>
    <row r="104" spans="1:35" x14ac:dyDescent="0.2">
      <c r="A104" t="s">
        <v>257</v>
      </c>
      <c r="B104">
        <v>62630441</v>
      </c>
      <c r="C104">
        <v>62630441</v>
      </c>
      <c r="D104" t="s">
        <v>45</v>
      </c>
      <c r="E104" t="s">
        <v>43</v>
      </c>
      <c r="F104" t="s">
        <v>36</v>
      </c>
      <c r="G104" t="s">
        <v>261</v>
      </c>
      <c r="H104" t="s">
        <v>47</v>
      </c>
      <c r="I104" t="s">
        <v>298</v>
      </c>
      <c r="J104" t="s">
        <v>297</v>
      </c>
      <c r="O104">
        <v>0.01</v>
      </c>
      <c r="P104">
        <v>0.99099999999999999</v>
      </c>
      <c r="Q104" t="s">
        <v>42</v>
      </c>
      <c r="R104">
        <v>0.97599999999999998</v>
      </c>
      <c r="S104" t="s">
        <v>42</v>
      </c>
      <c r="T104">
        <v>0</v>
      </c>
      <c r="U104" t="s">
        <v>42</v>
      </c>
      <c r="V104">
        <v>0.99999099999999996</v>
      </c>
      <c r="W104" t="s">
        <v>42</v>
      </c>
      <c r="X104">
        <v>3.27</v>
      </c>
      <c r="Y104" t="s">
        <v>50</v>
      </c>
      <c r="Z104">
        <v>-1.53</v>
      </c>
      <c r="AA104">
        <v>5.64</v>
      </c>
      <c r="AB104">
        <v>2.6680000000000001</v>
      </c>
      <c r="AC104">
        <v>19.7651</v>
      </c>
      <c r="AD104">
        <v>31</v>
      </c>
      <c r="AE104" t="s">
        <v>512</v>
      </c>
      <c r="AF104">
        <v>6</v>
      </c>
      <c r="AG104" t="s">
        <v>517</v>
      </c>
      <c r="AH104" t="str">
        <f t="shared" si="1"/>
        <v>chr20_62630441_G_A</v>
      </c>
      <c r="AI104" s="2" t="str">
        <f>IF(ISNUMBER(MATCH(AH104,'3347_FINAL'!$AH:$AH,0)),"YES","NO")</f>
        <v>NO</v>
      </c>
    </row>
    <row r="105" spans="1:35" x14ac:dyDescent="0.2">
      <c r="A105" t="s">
        <v>296</v>
      </c>
      <c r="B105">
        <v>50664264</v>
      </c>
      <c r="C105">
        <v>50664264</v>
      </c>
      <c r="D105" t="s">
        <v>34</v>
      </c>
      <c r="E105" t="s">
        <v>43</v>
      </c>
      <c r="F105" t="s">
        <v>36</v>
      </c>
      <c r="G105" t="s">
        <v>295</v>
      </c>
      <c r="H105" t="s">
        <v>38</v>
      </c>
      <c r="I105" t="s">
        <v>294</v>
      </c>
      <c r="J105" t="s">
        <v>98</v>
      </c>
      <c r="O105">
        <v>0.23</v>
      </c>
      <c r="P105" t="s">
        <v>41</v>
      </c>
      <c r="Q105" t="s">
        <v>41</v>
      </c>
      <c r="R105" t="s">
        <v>41</v>
      </c>
      <c r="S105" t="s">
        <v>41</v>
      </c>
      <c r="T105">
        <v>8.9648000000000005E-2</v>
      </c>
      <c r="U105" t="s">
        <v>73</v>
      </c>
      <c r="V105">
        <v>1</v>
      </c>
      <c r="W105" t="s">
        <v>43</v>
      </c>
      <c r="X105" t="s">
        <v>41</v>
      </c>
      <c r="Y105" t="s">
        <v>41</v>
      </c>
      <c r="Z105" t="s">
        <v>41</v>
      </c>
      <c r="AA105">
        <v>5.19</v>
      </c>
      <c r="AB105">
        <v>2.4300000000000002</v>
      </c>
      <c r="AC105">
        <v>18.712900000000001</v>
      </c>
      <c r="AD105">
        <v>41</v>
      </c>
      <c r="AE105" t="s">
        <v>512</v>
      </c>
      <c r="AF105">
        <v>7</v>
      </c>
      <c r="AG105" t="s">
        <v>517</v>
      </c>
      <c r="AH105" t="str">
        <f t="shared" si="1"/>
        <v>chr22_50664264_C_A</v>
      </c>
      <c r="AI105" s="2" t="str">
        <f>IF(ISNUMBER(MATCH(AH105,'3347_FINAL'!$AH:$AH,0)),"YES","NO")</f>
        <v>NO</v>
      </c>
    </row>
    <row r="106" spans="1:35" x14ac:dyDescent="0.2">
      <c r="A106" t="s">
        <v>268</v>
      </c>
      <c r="B106">
        <v>13764574</v>
      </c>
      <c r="C106">
        <v>13764574</v>
      </c>
      <c r="D106" t="s">
        <v>45</v>
      </c>
      <c r="E106" t="s">
        <v>35</v>
      </c>
      <c r="F106" t="s">
        <v>36</v>
      </c>
      <c r="G106" t="s">
        <v>269</v>
      </c>
      <c r="H106" t="s">
        <v>47</v>
      </c>
      <c r="I106" t="s">
        <v>293</v>
      </c>
      <c r="J106" t="s">
        <v>95</v>
      </c>
      <c r="O106">
        <v>0.03</v>
      </c>
      <c r="P106">
        <v>1</v>
      </c>
      <c r="Q106" t="s">
        <v>42</v>
      </c>
      <c r="R106">
        <v>0.995</v>
      </c>
      <c r="S106" t="s">
        <v>42</v>
      </c>
      <c r="T106">
        <v>0</v>
      </c>
      <c r="U106" t="s">
        <v>42</v>
      </c>
      <c r="V106" t="s">
        <v>41</v>
      </c>
      <c r="W106" t="s">
        <v>41</v>
      </c>
      <c r="X106">
        <v>2.36</v>
      </c>
      <c r="Y106" t="s">
        <v>50</v>
      </c>
      <c r="Z106">
        <v>-6.24</v>
      </c>
      <c r="AA106">
        <v>4.78</v>
      </c>
      <c r="AB106">
        <v>1.1399999999999999</v>
      </c>
      <c r="AC106">
        <v>14.0801</v>
      </c>
      <c r="AD106">
        <v>31</v>
      </c>
      <c r="AE106" t="s">
        <v>512</v>
      </c>
      <c r="AF106">
        <v>5</v>
      </c>
      <c r="AG106" t="s">
        <v>517</v>
      </c>
      <c r="AH106" t="str">
        <f t="shared" si="1"/>
        <v>chrX_13764574_G_T</v>
      </c>
      <c r="AI106" s="2" t="str">
        <f>IF(ISNUMBER(MATCH(AH106,'3347_FINAL'!$AH:$AH,0)),"YES","NO")</f>
        <v>NO</v>
      </c>
    </row>
    <row r="107" spans="1:35" x14ac:dyDescent="0.2">
      <c r="A107" t="s">
        <v>268</v>
      </c>
      <c r="B107">
        <v>13778818</v>
      </c>
      <c r="C107">
        <v>13778818</v>
      </c>
      <c r="D107" t="s">
        <v>45</v>
      </c>
      <c r="E107" t="s">
        <v>35</v>
      </c>
      <c r="F107" t="s">
        <v>36</v>
      </c>
      <c r="G107" t="s">
        <v>269</v>
      </c>
      <c r="H107" t="s">
        <v>38</v>
      </c>
      <c r="I107" t="s">
        <v>292</v>
      </c>
      <c r="O107">
        <v>0.61</v>
      </c>
      <c r="P107" t="s">
        <v>41</v>
      </c>
      <c r="Q107" t="s">
        <v>41</v>
      </c>
      <c r="R107" t="s">
        <v>41</v>
      </c>
      <c r="S107" t="s">
        <v>41</v>
      </c>
      <c r="T107">
        <v>0.38229400000000002</v>
      </c>
      <c r="U107" t="s">
        <v>73</v>
      </c>
      <c r="V107">
        <v>1</v>
      </c>
      <c r="W107" t="s">
        <v>43</v>
      </c>
      <c r="X107" t="s">
        <v>41</v>
      </c>
      <c r="Y107" t="s">
        <v>41</v>
      </c>
      <c r="Z107" t="s">
        <v>41</v>
      </c>
      <c r="AA107">
        <v>1.05</v>
      </c>
      <c r="AB107">
        <v>0.13800000000000001</v>
      </c>
      <c r="AC107">
        <v>4.5321999999999996</v>
      </c>
      <c r="AD107">
        <v>33</v>
      </c>
      <c r="AE107" s="6" t="s">
        <v>521</v>
      </c>
      <c r="AF107">
        <v>3</v>
      </c>
      <c r="AG107" t="s">
        <v>44</v>
      </c>
      <c r="AH107" t="str">
        <f t="shared" si="1"/>
        <v>chrX_13778818_G_T</v>
      </c>
      <c r="AI107" s="2" t="str">
        <f>IF(ISNUMBER(MATCH(AH107,'3347_FINAL'!$AH:$AH,0)),"YES","NO")</f>
        <v>NO</v>
      </c>
    </row>
    <row r="108" spans="1:35" x14ac:dyDescent="0.2">
      <c r="A108" t="s">
        <v>268</v>
      </c>
      <c r="B108">
        <v>18662651</v>
      </c>
      <c r="C108">
        <v>18662651</v>
      </c>
      <c r="D108" t="s">
        <v>45</v>
      </c>
      <c r="E108" t="s">
        <v>43</v>
      </c>
      <c r="F108" t="s">
        <v>36</v>
      </c>
      <c r="G108" t="s">
        <v>291</v>
      </c>
      <c r="H108" t="s">
        <v>47</v>
      </c>
      <c r="I108" t="s">
        <v>290</v>
      </c>
      <c r="J108" t="s">
        <v>289</v>
      </c>
      <c r="N108" t="s">
        <v>288</v>
      </c>
      <c r="O108">
        <v>0.01</v>
      </c>
      <c r="P108">
        <v>1</v>
      </c>
      <c r="Q108" t="s">
        <v>42</v>
      </c>
      <c r="R108">
        <v>0.98899999999999999</v>
      </c>
      <c r="S108" t="s">
        <v>42</v>
      </c>
      <c r="T108">
        <v>0</v>
      </c>
      <c r="U108" t="s">
        <v>42</v>
      </c>
      <c r="V108">
        <v>0.99977199999999999</v>
      </c>
      <c r="W108" t="s">
        <v>42</v>
      </c>
      <c r="X108">
        <v>2.89</v>
      </c>
      <c r="Y108" t="s">
        <v>50</v>
      </c>
      <c r="Z108">
        <v>-5.14</v>
      </c>
      <c r="AA108">
        <v>4.91</v>
      </c>
      <c r="AB108">
        <v>2.41</v>
      </c>
      <c r="AC108">
        <v>12.6097</v>
      </c>
      <c r="AD108">
        <v>32</v>
      </c>
      <c r="AE108" s="6" t="s">
        <v>521</v>
      </c>
      <c r="AF108">
        <v>1</v>
      </c>
      <c r="AG108" t="s">
        <v>44</v>
      </c>
      <c r="AH108" t="str">
        <f t="shared" si="1"/>
        <v>chrX_18662651_G_A</v>
      </c>
      <c r="AI108" s="2" t="str">
        <f>IF(ISNUMBER(MATCH(AH108,'3347_FINAL'!$AH:$AH,0)),"YES","NO")</f>
        <v>NO</v>
      </c>
    </row>
    <row r="109" spans="1:35" x14ac:dyDescent="0.2">
      <c r="A109" t="s">
        <v>268</v>
      </c>
      <c r="B109">
        <v>31164470</v>
      </c>
      <c r="C109">
        <v>31164470</v>
      </c>
      <c r="D109" t="s">
        <v>34</v>
      </c>
      <c r="E109" t="s">
        <v>43</v>
      </c>
      <c r="F109" t="s">
        <v>36</v>
      </c>
      <c r="G109" t="s">
        <v>271</v>
      </c>
      <c r="H109" t="s">
        <v>47</v>
      </c>
      <c r="I109" t="s">
        <v>287</v>
      </c>
      <c r="J109" t="s">
        <v>286</v>
      </c>
      <c r="O109">
        <v>0.09</v>
      </c>
      <c r="P109">
        <v>0.999</v>
      </c>
      <c r="Q109" t="s">
        <v>42</v>
      </c>
      <c r="R109">
        <v>0.995</v>
      </c>
      <c r="S109" t="s">
        <v>42</v>
      </c>
      <c r="T109">
        <v>9.5E-4</v>
      </c>
      <c r="U109" t="s">
        <v>274</v>
      </c>
      <c r="V109" t="s">
        <v>41</v>
      </c>
      <c r="W109" t="s">
        <v>41</v>
      </c>
      <c r="X109">
        <v>1.7</v>
      </c>
      <c r="Y109" t="s">
        <v>206</v>
      </c>
      <c r="Z109">
        <v>0.65</v>
      </c>
      <c r="AA109">
        <v>5.44</v>
      </c>
      <c r="AB109">
        <v>2.512</v>
      </c>
      <c r="AC109">
        <v>18.283999999999999</v>
      </c>
      <c r="AD109">
        <v>33</v>
      </c>
      <c r="AE109" s="6" t="s">
        <v>521</v>
      </c>
      <c r="AF109">
        <v>1</v>
      </c>
      <c r="AG109" t="s">
        <v>44</v>
      </c>
      <c r="AH109" t="str">
        <f t="shared" si="1"/>
        <v>chrX_31164470_C_A</v>
      </c>
      <c r="AI109" s="2" t="str">
        <f>IF(ISNUMBER(MATCH(AH109,'3347_FINAL'!$AH:$AH,0)),"YES","NO")</f>
        <v>NO</v>
      </c>
    </row>
    <row r="110" spans="1:35" x14ac:dyDescent="0.2">
      <c r="A110" t="s">
        <v>268</v>
      </c>
      <c r="B110">
        <v>31241187</v>
      </c>
      <c r="C110">
        <v>31241187</v>
      </c>
      <c r="D110" t="s">
        <v>34</v>
      </c>
      <c r="E110" t="s">
        <v>35</v>
      </c>
      <c r="F110" t="s">
        <v>36</v>
      </c>
      <c r="G110" t="s">
        <v>271</v>
      </c>
      <c r="H110" t="s">
        <v>47</v>
      </c>
      <c r="I110" t="s">
        <v>285</v>
      </c>
      <c r="J110" t="s">
        <v>284</v>
      </c>
      <c r="O110">
        <v>0.05</v>
      </c>
      <c r="P110">
        <v>1</v>
      </c>
      <c r="Q110" t="s">
        <v>42</v>
      </c>
      <c r="R110">
        <v>0.99299999999999999</v>
      </c>
      <c r="S110" t="s">
        <v>42</v>
      </c>
      <c r="T110">
        <v>4.8479999999999999E-3</v>
      </c>
      <c r="U110" t="s">
        <v>274</v>
      </c>
      <c r="V110">
        <v>0.99979200000000001</v>
      </c>
      <c r="W110" t="s">
        <v>42</v>
      </c>
      <c r="X110">
        <v>2.4249999999999998</v>
      </c>
      <c r="Y110" t="s">
        <v>50</v>
      </c>
      <c r="Z110">
        <v>-0.22</v>
      </c>
      <c r="AA110">
        <v>5.23</v>
      </c>
      <c r="AB110">
        <v>2.1960000000000002</v>
      </c>
      <c r="AC110">
        <v>16.674399999999999</v>
      </c>
      <c r="AD110">
        <v>32</v>
      </c>
      <c r="AE110" t="s">
        <v>512</v>
      </c>
      <c r="AF110">
        <v>16</v>
      </c>
      <c r="AG110" t="s">
        <v>517</v>
      </c>
      <c r="AH110" t="str">
        <f t="shared" si="1"/>
        <v>chrX_31241187_C_T</v>
      </c>
      <c r="AI110" s="2" t="str">
        <f>IF(ISNUMBER(MATCH(AH110,'3347_FINAL'!$AH:$AH,0)),"YES","NO")</f>
        <v>NO</v>
      </c>
    </row>
    <row r="111" spans="1:35" x14ac:dyDescent="0.2">
      <c r="A111" t="s">
        <v>268</v>
      </c>
      <c r="B111">
        <v>119590560</v>
      </c>
      <c r="C111">
        <v>119590560</v>
      </c>
      <c r="D111" t="s">
        <v>43</v>
      </c>
      <c r="E111" t="s">
        <v>35</v>
      </c>
      <c r="F111" t="s">
        <v>36</v>
      </c>
      <c r="G111" t="s">
        <v>283</v>
      </c>
      <c r="H111" t="s">
        <v>38</v>
      </c>
      <c r="I111" t="s">
        <v>282</v>
      </c>
      <c r="J111" t="s">
        <v>181</v>
      </c>
      <c r="O111">
        <v>1</v>
      </c>
      <c r="P111" t="s">
        <v>41</v>
      </c>
      <c r="Q111" t="s">
        <v>41</v>
      </c>
      <c r="R111" t="s">
        <v>41</v>
      </c>
      <c r="S111" t="s">
        <v>41</v>
      </c>
      <c r="T111">
        <v>0</v>
      </c>
      <c r="U111" t="s">
        <v>42</v>
      </c>
      <c r="V111">
        <v>1</v>
      </c>
      <c r="W111" t="s">
        <v>43</v>
      </c>
      <c r="X111" t="s">
        <v>41</v>
      </c>
      <c r="Y111" t="s">
        <v>41</v>
      </c>
      <c r="Z111" t="s">
        <v>41</v>
      </c>
      <c r="AA111">
        <v>3.71</v>
      </c>
      <c r="AB111">
        <v>0.63500000000000001</v>
      </c>
      <c r="AC111">
        <v>7.9962</v>
      </c>
      <c r="AD111">
        <v>35</v>
      </c>
      <c r="AE111" s="6" t="s">
        <v>521</v>
      </c>
      <c r="AF111">
        <v>1</v>
      </c>
      <c r="AG111" t="s">
        <v>44</v>
      </c>
      <c r="AH111" t="str">
        <f t="shared" si="1"/>
        <v>chrX_119590560_A_T</v>
      </c>
      <c r="AI111" s="2" t="str">
        <f>IF(ISNUMBER(MATCH(AH111,'3347_FINAL'!$AH:$AH,0)),"YES","NO")</f>
        <v>NO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278_FINAL</vt:lpstr>
      <vt:lpstr>3347_FINAL</vt:lpstr>
      <vt:lpstr>MM47_FINAL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Chiselile Mutale (Student)</dc:creator>
  <cp:lastModifiedBy>Chiselile Mutale (Student)</cp:lastModifiedBy>
  <dcterms:created xsi:type="dcterms:W3CDTF">2026-09-15T14:03:01Z</dcterms:created>
  <dcterms:modified xsi:type="dcterms:W3CDTF">2026-09-23T17:57:09Z</dcterms:modified>
</cp:coreProperties>
</file>